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showPivotChartFilter="1" defaultThemeVersion="124226"/>
  <mc:AlternateContent xmlns:mc="http://schemas.openxmlformats.org/markup-compatibility/2006">
    <mc:Choice Requires="x15">
      <x15ac:absPath xmlns:x15ac="http://schemas.microsoft.com/office/spreadsheetml/2010/11/ac" url="C:\Users\MANUDEEP REDDY\Downloads\"/>
    </mc:Choice>
  </mc:AlternateContent>
  <xr:revisionPtr revIDLastSave="0" documentId="13_ncr:1_{A4434E98-A560-4F4F-BB95-A3AA1D5B1CDF}" xr6:coauthVersionLast="47" xr6:coauthVersionMax="47" xr10:uidLastSave="{00000000-0000-0000-0000-000000000000}"/>
  <bookViews>
    <workbookView xWindow="-108" yWindow="-108" windowWidth="23256" windowHeight="13176" activeTab="3" xr2:uid="{00000000-000D-0000-FFFF-FFFF00000000}"/>
  </bookViews>
  <sheets>
    <sheet name="Raw_Data" sheetId="1" r:id="rId1"/>
    <sheet name="Clean Data" sheetId="2" r:id="rId2"/>
    <sheet name="Pivot Tables" sheetId="3" r:id="rId3"/>
    <sheet name="Dashboard" sheetId="6" r:id="rId4"/>
  </sheets>
  <definedNames>
    <definedName name="Slicer_Bank_Name">#N/A</definedName>
    <definedName name="Slicer_Hour">#N/A</definedName>
    <definedName name="Slicer_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2"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M2" i="2"/>
  <c r="O2" i="2" s="1"/>
  <c r="M3" i="2"/>
  <c r="O3" i="2" s="1"/>
  <c r="M4" i="2"/>
  <c r="O4" i="2" s="1"/>
  <c r="M5" i="2"/>
  <c r="O5" i="2" s="1"/>
  <c r="M6" i="2"/>
  <c r="O6" i="2" s="1"/>
  <c r="M7" i="2"/>
  <c r="O7" i="2" s="1"/>
  <c r="M8" i="2"/>
  <c r="M9" i="2"/>
  <c r="O9" i="2" s="1"/>
  <c r="M10" i="2"/>
  <c r="O10" i="2" s="1"/>
  <c r="M11" i="2"/>
  <c r="O11" i="2" s="1"/>
  <c r="M12" i="2"/>
  <c r="O12" i="2" s="1"/>
  <c r="M13" i="2"/>
  <c r="O13" i="2" s="1"/>
  <c r="M14" i="2"/>
  <c r="O14" i="2" s="1"/>
  <c r="M15" i="2"/>
  <c r="O15" i="2" s="1"/>
  <c r="M16" i="2"/>
  <c r="O16" i="2" s="1"/>
  <c r="M17" i="2"/>
  <c r="O17" i="2" s="1"/>
  <c r="M18" i="2"/>
  <c r="O18" i="2" s="1"/>
  <c r="M19" i="2"/>
  <c r="O19" i="2" s="1"/>
  <c r="M20" i="2"/>
  <c r="O20" i="2" s="1"/>
  <c r="M21" i="2"/>
  <c r="O21" i="2" s="1"/>
  <c r="M22" i="2"/>
  <c r="O22" i="2" s="1"/>
  <c r="M23" i="2"/>
  <c r="O23" i="2" s="1"/>
  <c r="M24" i="2"/>
  <c r="O24" i="2" s="1"/>
  <c r="M25" i="2"/>
  <c r="O25" i="2" s="1"/>
  <c r="M26" i="2"/>
  <c r="O26" i="2" s="1"/>
  <c r="M27" i="2"/>
  <c r="O27" i="2" s="1"/>
  <c r="M28" i="2"/>
  <c r="O28" i="2" s="1"/>
  <c r="M29" i="2"/>
  <c r="O29" i="2" s="1"/>
  <c r="M30" i="2"/>
  <c r="O30" i="2" s="1"/>
  <c r="M31" i="2"/>
  <c r="O31" i="2" s="1"/>
  <c r="M32" i="2"/>
  <c r="O32" i="2" s="1"/>
  <c r="M33" i="2"/>
  <c r="O33" i="2" s="1"/>
  <c r="M34" i="2"/>
  <c r="O34" i="2" s="1"/>
  <c r="M35" i="2"/>
  <c r="O35" i="2" s="1"/>
  <c r="M36" i="2"/>
  <c r="O36" i="2" s="1"/>
  <c r="M37" i="2"/>
  <c r="O37" i="2" s="1"/>
  <c r="M38" i="2"/>
  <c r="O38" i="2" s="1"/>
  <c r="M39" i="2"/>
  <c r="O39" i="2" s="1"/>
  <c r="M40" i="2"/>
  <c r="O40" i="2" s="1"/>
  <c r="M41" i="2"/>
  <c r="O41" i="2" s="1"/>
  <c r="M42" i="2"/>
  <c r="O42" i="2" s="1"/>
  <c r="M43" i="2"/>
  <c r="O43" i="2" s="1"/>
  <c r="M44" i="2"/>
  <c r="O44" i="2" s="1"/>
  <c r="M45" i="2"/>
  <c r="O45" i="2" s="1"/>
  <c r="M46" i="2"/>
  <c r="O46" i="2" s="1"/>
  <c r="M47" i="2"/>
  <c r="O47" i="2" s="1"/>
  <c r="M48" i="2"/>
  <c r="O48" i="2" s="1"/>
  <c r="M49" i="2"/>
  <c r="O49" i="2" s="1"/>
  <c r="M50" i="2"/>
  <c r="O50" i="2" s="1"/>
  <c r="M51" i="2"/>
  <c r="O51" i="2" s="1"/>
  <c r="M52" i="2"/>
  <c r="O52" i="2" s="1"/>
  <c r="M53" i="2"/>
  <c r="O53" i="2" s="1"/>
  <c r="M54" i="2"/>
  <c r="O54" i="2" s="1"/>
  <c r="M55" i="2"/>
  <c r="O55" i="2" s="1"/>
  <c r="M56" i="2"/>
  <c r="O56" i="2" s="1"/>
  <c r="M57" i="2"/>
  <c r="O57" i="2" s="1"/>
  <c r="M58" i="2"/>
  <c r="O58" i="2" s="1"/>
  <c r="M59" i="2"/>
  <c r="O59" i="2" s="1"/>
  <c r="M60" i="2"/>
  <c r="O60" i="2" s="1"/>
  <c r="M61" i="2"/>
  <c r="O61" i="2" s="1"/>
  <c r="M62" i="2"/>
  <c r="O62" i="2" s="1"/>
  <c r="M63" i="2"/>
  <c r="O63" i="2" s="1"/>
  <c r="M64" i="2"/>
  <c r="O64" i="2" s="1"/>
  <c r="M65" i="2"/>
  <c r="O65" i="2" s="1"/>
  <c r="M66" i="2"/>
  <c r="O66" i="2" s="1"/>
  <c r="M67" i="2"/>
  <c r="O67" i="2" s="1"/>
  <c r="M68" i="2"/>
  <c r="O68" i="2" s="1"/>
  <c r="M69" i="2"/>
  <c r="O69" i="2" s="1"/>
  <c r="M70" i="2"/>
  <c r="O70" i="2" s="1"/>
  <c r="M71" i="2"/>
  <c r="O71" i="2" s="1"/>
  <c r="M72" i="2"/>
  <c r="O72" i="2" s="1"/>
  <c r="M73" i="2"/>
  <c r="O73" i="2" s="1"/>
  <c r="M74" i="2"/>
  <c r="O74" i="2" s="1"/>
  <c r="M75" i="2"/>
  <c r="O75" i="2" s="1"/>
  <c r="M76" i="2"/>
  <c r="O76" i="2" s="1"/>
  <c r="M77" i="2"/>
  <c r="O77" i="2" s="1"/>
  <c r="M78" i="2"/>
  <c r="O78" i="2" s="1"/>
  <c r="M79" i="2"/>
  <c r="O79" i="2" s="1"/>
  <c r="M80" i="2"/>
  <c r="O80" i="2" s="1"/>
  <c r="M81" i="2"/>
  <c r="O81" i="2" s="1"/>
  <c r="M82" i="2"/>
  <c r="O82" i="2" s="1"/>
  <c r="M83" i="2"/>
  <c r="O83" i="2" s="1"/>
  <c r="M84" i="2"/>
  <c r="O84" i="2" s="1"/>
  <c r="M85" i="2"/>
  <c r="O85" i="2" s="1"/>
  <c r="M86" i="2"/>
  <c r="O86" i="2" s="1"/>
  <c r="M87" i="2"/>
  <c r="O87" i="2" s="1"/>
  <c r="M88" i="2"/>
  <c r="O88" i="2" s="1"/>
  <c r="M89" i="2"/>
  <c r="O89" i="2" s="1"/>
  <c r="M90" i="2"/>
  <c r="O90" i="2" s="1"/>
  <c r="M91" i="2"/>
  <c r="O91" i="2" s="1"/>
  <c r="M92" i="2"/>
  <c r="O92" i="2" s="1"/>
  <c r="M93" i="2"/>
  <c r="O93" i="2" s="1"/>
  <c r="M94" i="2"/>
  <c r="O94" i="2" s="1"/>
  <c r="M95" i="2"/>
  <c r="O95" i="2" s="1"/>
  <c r="M96" i="2"/>
  <c r="O96" i="2" s="1"/>
  <c r="M97" i="2"/>
  <c r="O97" i="2" s="1"/>
  <c r="M98" i="2"/>
  <c r="O98" i="2" s="1"/>
  <c r="M99" i="2"/>
  <c r="O99" i="2" s="1"/>
  <c r="M100" i="2"/>
  <c r="O100" i="2" s="1"/>
  <c r="M101" i="2"/>
  <c r="O101" i="2" s="1"/>
  <c r="M102" i="2"/>
  <c r="O102" i="2" s="1"/>
  <c r="M103" i="2"/>
  <c r="O103" i="2" s="1"/>
  <c r="M104" i="2"/>
  <c r="O104" i="2" s="1"/>
  <c r="M105" i="2"/>
  <c r="O105" i="2" s="1"/>
  <c r="M106" i="2"/>
  <c r="O106" i="2" s="1"/>
  <c r="M107" i="2"/>
  <c r="O107" i="2" s="1"/>
  <c r="M108" i="2"/>
  <c r="O108" i="2" s="1"/>
  <c r="M109" i="2"/>
  <c r="O109" i="2" s="1"/>
  <c r="M110" i="2"/>
  <c r="O110" i="2" s="1"/>
  <c r="M111" i="2"/>
  <c r="O111" i="2" s="1"/>
  <c r="M112" i="2"/>
  <c r="O112" i="2" s="1"/>
  <c r="M113" i="2"/>
  <c r="O113" i="2" s="1"/>
  <c r="M114" i="2"/>
  <c r="O114" i="2" s="1"/>
  <c r="M115" i="2"/>
  <c r="O115" i="2" s="1"/>
  <c r="M116" i="2"/>
  <c r="O116" i="2" s="1"/>
  <c r="M117" i="2"/>
  <c r="O117" i="2" s="1"/>
  <c r="M118" i="2"/>
  <c r="O118" i="2" s="1"/>
  <c r="M119" i="2"/>
  <c r="O119" i="2" s="1"/>
  <c r="M120" i="2"/>
  <c r="O120" i="2" s="1"/>
  <c r="M121" i="2"/>
  <c r="O121" i="2" s="1"/>
  <c r="M122" i="2"/>
  <c r="O122" i="2" s="1"/>
  <c r="M123" i="2"/>
  <c r="O123" i="2" s="1"/>
  <c r="M124" i="2"/>
  <c r="O124" i="2" s="1"/>
  <c r="M125" i="2"/>
  <c r="O125" i="2" s="1"/>
  <c r="M126" i="2"/>
  <c r="O126" i="2" s="1"/>
  <c r="M127" i="2"/>
  <c r="O127" i="2" s="1"/>
  <c r="M128" i="2"/>
  <c r="O128" i="2" s="1"/>
  <c r="M129" i="2"/>
  <c r="O129" i="2" s="1"/>
  <c r="M130" i="2"/>
  <c r="O130" i="2" s="1"/>
  <c r="M131" i="2"/>
  <c r="O131" i="2" s="1"/>
  <c r="M132" i="2"/>
  <c r="O132" i="2" s="1"/>
  <c r="M133" i="2"/>
  <c r="O133" i="2" s="1"/>
  <c r="M134" i="2"/>
  <c r="O134" i="2" s="1"/>
  <c r="M135" i="2"/>
  <c r="O135" i="2" s="1"/>
  <c r="M136" i="2"/>
  <c r="O136" i="2" s="1"/>
  <c r="M137" i="2"/>
  <c r="O137" i="2" s="1"/>
  <c r="M138" i="2"/>
  <c r="O138" i="2" s="1"/>
  <c r="M139" i="2"/>
  <c r="O139" i="2" s="1"/>
  <c r="M140" i="2"/>
  <c r="O140" i="2" s="1"/>
  <c r="M141" i="2"/>
  <c r="O141" i="2" s="1"/>
  <c r="M142" i="2"/>
  <c r="O142" i="2" s="1"/>
  <c r="M143" i="2"/>
  <c r="O143" i="2" s="1"/>
  <c r="M144" i="2"/>
  <c r="O144" i="2" s="1"/>
  <c r="M145" i="2"/>
  <c r="O145" i="2" s="1"/>
  <c r="M146" i="2"/>
  <c r="O146" i="2" s="1"/>
  <c r="M147" i="2"/>
  <c r="O147" i="2" s="1"/>
  <c r="M148" i="2"/>
  <c r="O148" i="2" s="1"/>
  <c r="M149" i="2"/>
  <c r="O149" i="2" s="1"/>
  <c r="M150" i="2"/>
  <c r="O150" i="2" s="1"/>
  <c r="M151" i="2"/>
  <c r="O151" i="2" s="1"/>
  <c r="M152" i="2"/>
  <c r="O152" i="2" s="1"/>
  <c r="M153" i="2"/>
  <c r="O153" i="2" s="1"/>
  <c r="M154" i="2"/>
  <c r="O154" i="2" s="1"/>
  <c r="M155" i="2"/>
  <c r="O155" i="2" s="1"/>
  <c r="M156" i="2"/>
  <c r="O156" i="2" s="1"/>
  <c r="M157" i="2"/>
  <c r="O157" i="2" s="1"/>
  <c r="M158" i="2"/>
  <c r="O158" i="2" s="1"/>
  <c r="M159" i="2"/>
  <c r="O159" i="2" s="1"/>
  <c r="M160" i="2"/>
  <c r="O160" i="2" s="1"/>
  <c r="M161" i="2"/>
  <c r="O161" i="2" s="1"/>
  <c r="M162" i="2"/>
  <c r="O162" i="2" s="1"/>
  <c r="M163" i="2"/>
  <c r="O163" i="2" s="1"/>
  <c r="M164" i="2"/>
  <c r="O164" i="2" s="1"/>
  <c r="M165" i="2"/>
  <c r="O165" i="2" s="1"/>
  <c r="M166" i="2"/>
  <c r="O166" i="2" s="1"/>
  <c r="M167" i="2"/>
  <c r="O167" i="2" s="1"/>
  <c r="M168" i="2"/>
  <c r="O168" i="2" s="1"/>
  <c r="M169" i="2"/>
  <c r="O169" i="2" s="1"/>
  <c r="M170" i="2"/>
  <c r="O170" i="2" s="1"/>
  <c r="M171" i="2"/>
  <c r="O171" i="2" s="1"/>
  <c r="M172" i="2"/>
  <c r="O172" i="2" s="1"/>
  <c r="M173" i="2"/>
  <c r="O173" i="2" s="1"/>
  <c r="M174" i="2"/>
  <c r="O174" i="2" s="1"/>
  <c r="M175" i="2"/>
  <c r="O175" i="2" s="1"/>
  <c r="M176" i="2"/>
  <c r="O176" i="2" s="1"/>
  <c r="M177" i="2"/>
  <c r="O177" i="2" s="1"/>
  <c r="M178" i="2"/>
  <c r="O178" i="2" s="1"/>
  <c r="M179" i="2"/>
  <c r="O179" i="2" s="1"/>
  <c r="M180" i="2"/>
  <c r="O180" i="2" s="1"/>
  <c r="M181" i="2"/>
  <c r="O181" i="2" s="1"/>
  <c r="M182" i="2"/>
  <c r="O182" i="2" s="1"/>
  <c r="M183" i="2"/>
  <c r="O183" i="2" s="1"/>
  <c r="M184" i="2"/>
  <c r="O184" i="2" s="1"/>
  <c r="M185" i="2"/>
  <c r="O185" i="2" s="1"/>
  <c r="M186" i="2"/>
  <c r="O186" i="2" s="1"/>
  <c r="M187" i="2"/>
  <c r="O187" i="2" s="1"/>
  <c r="M188" i="2"/>
  <c r="O188" i="2" s="1"/>
  <c r="M189" i="2"/>
  <c r="O189" i="2" s="1"/>
  <c r="M190" i="2"/>
  <c r="O190" i="2" s="1"/>
  <c r="M191" i="2"/>
  <c r="O191" i="2" s="1"/>
  <c r="M192" i="2"/>
  <c r="O192" i="2" s="1"/>
  <c r="M193" i="2"/>
  <c r="O193" i="2" s="1"/>
  <c r="M194" i="2"/>
  <c r="O194" i="2" s="1"/>
  <c r="M195" i="2"/>
  <c r="O195" i="2" s="1"/>
  <c r="M196" i="2"/>
  <c r="O196" i="2" s="1"/>
  <c r="M197" i="2"/>
  <c r="O197" i="2" s="1"/>
  <c r="M198" i="2"/>
  <c r="O198" i="2" s="1"/>
  <c r="M199" i="2"/>
  <c r="O199" i="2" s="1"/>
  <c r="M200" i="2"/>
  <c r="O200" i="2" s="1"/>
  <c r="M201" i="2"/>
  <c r="O201" i="2" s="1"/>
  <c r="M202" i="2"/>
  <c r="O202" i="2" s="1"/>
  <c r="M203" i="2"/>
  <c r="O203" i="2" s="1"/>
  <c r="M204" i="2"/>
  <c r="O204" i="2" s="1"/>
  <c r="M205" i="2"/>
  <c r="O205" i="2" s="1"/>
  <c r="M206" i="2"/>
  <c r="O206" i="2" s="1"/>
  <c r="M207" i="2"/>
  <c r="O207" i="2" s="1"/>
  <c r="M208" i="2"/>
  <c r="O208" i="2" s="1"/>
  <c r="M209" i="2"/>
  <c r="O209" i="2" s="1"/>
  <c r="M210" i="2"/>
  <c r="O210" i="2" s="1"/>
  <c r="M211" i="2"/>
  <c r="O211" i="2" s="1"/>
  <c r="M212" i="2"/>
  <c r="O212" i="2" s="1"/>
  <c r="M213" i="2"/>
  <c r="O213" i="2" s="1"/>
  <c r="M214" i="2"/>
  <c r="O214" i="2" s="1"/>
  <c r="M215" i="2"/>
  <c r="O215" i="2" s="1"/>
  <c r="M216" i="2"/>
  <c r="O216" i="2" s="1"/>
  <c r="M217" i="2"/>
  <c r="O217" i="2" s="1"/>
  <c r="M218" i="2"/>
  <c r="O218" i="2" s="1"/>
  <c r="M219" i="2"/>
  <c r="O219" i="2" s="1"/>
  <c r="M220" i="2"/>
  <c r="O220" i="2" s="1"/>
  <c r="M221" i="2"/>
  <c r="O221" i="2" s="1"/>
  <c r="M222" i="2"/>
  <c r="O222" i="2" s="1"/>
  <c r="M223" i="2"/>
  <c r="O223" i="2" s="1"/>
  <c r="M224" i="2"/>
  <c r="O224" i="2" s="1"/>
  <c r="M225" i="2"/>
  <c r="O225" i="2" s="1"/>
  <c r="M226" i="2"/>
  <c r="O226" i="2" s="1"/>
  <c r="M227" i="2"/>
  <c r="O227" i="2" s="1"/>
  <c r="M228" i="2"/>
  <c r="O228" i="2" s="1"/>
  <c r="M229" i="2"/>
  <c r="O229" i="2" s="1"/>
  <c r="M230" i="2"/>
  <c r="O230" i="2" s="1"/>
  <c r="M231" i="2"/>
  <c r="O231" i="2" s="1"/>
  <c r="M232" i="2"/>
  <c r="O232" i="2" s="1"/>
  <c r="M233" i="2"/>
  <c r="O233" i="2" s="1"/>
  <c r="M234" i="2"/>
  <c r="O234" i="2" s="1"/>
  <c r="M235" i="2"/>
  <c r="O235" i="2" s="1"/>
  <c r="M236" i="2"/>
  <c r="O236" i="2" s="1"/>
  <c r="M237" i="2"/>
  <c r="O237" i="2" s="1"/>
  <c r="M238" i="2"/>
  <c r="O238" i="2" s="1"/>
  <c r="M239" i="2"/>
  <c r="O239" i="2" s="1"/>
  <c r="M240" i="2"/>
  <c r="O240" i="2" s="1"/>
  <c r="M241" i="2"/>
  <c r="O241" i="2" s="1"/>
  <c r="M242" i="2"/>
  <c r="O242" i="2" s="1"/>
  <c r="M243" i="2"/>
  <c r="O243" i="2" s="1"/>
  <c r="M244" i="2"/>
  <c r="O244" i="2" s="1"/>
  <c r="M245" i="2"/>
  <c r="O245" i="2" s="1"/>
  <c r="M246" i="2"/>
  <c r="O246" i="2" s="1"/>
  <c r="M247" i="2"/>
  <c r="O247" i="2" s="1"/>
  <c r="M248" i="2"/>
  <c r="O248" i="2" s="1"/>
  <c r="M249" i="2"/>
  <c r="O249" i="2" s="1"/>
  <c r="M250" i="2"/>
  <c r="O250" i="2" s="1"/>
  <c r="M251" i="2"/>
  <c r="O251" i="2" s="1"/>
  <c r="M252" i="2"/>
  <c r="O252" i="2" s="1"/>
  <c r="M253" i="2"/>
  <c r="O253" i="2" s="1"/>
  <c r="M254" i="2"/>
  <c r="O254" i="2" s="1"/>
  <c r="M255" i="2"/>
  <c r="O255" i="2" s="1"/>
  <c r="M256" i="2"/>
  <c r="O256" i="2" s="1"/>
  <c r="M257" i="2"/>
  <c r="O257" i="2" s="1"/>
  <c r="M258" i="2"/>
  <c r="O258" i="2" s="1"/>
  <c r="M259" i="2"/>
  <c r="O259" i="2" s="1"/>
  <c r="M260" i="2"/>
  <c r="O260" i="2" s="1"/>
  <c r="M261" i="2"/>
  <c r="O261" i="2" s="1"/>
  <c r="M262" i="2"/>
  <c r="O262" i="2" s="1"/>
  <c r="M263" i="2"/>
  <c r="O263" i="2" s="1"/>
  <c r="M264" i="2"/>
  <c r="O264" i="2" s="1"/>
  <c r="M265" i="2"/>
  <c r="O265" i="2" s="1"/>
  <c r="M266" i="2"/>
  <c r="O266" i="2" s="1"/>
  <c r="M267" i="2"/>
  <c r="O267" i="2" s="1"/>
  <c r="M268" i="2"/>
  <c r="O268" i="2" s="1"/>
  <c r="M269" i="2"/>
  <c r="O269" i="2" s="1"/>
  <c r="M270" i="2"/>
  <c r="O270" i="2" s="1"/>
  <c r="M271" i="2"/>
  <c r="O271" i="2" s="1"/>
  <c r="M272" i="2"/>
  <c r="O272" i="2" s="1"/>
  <c r="M273" i="2"/>
  <c r="O273" i="2" s="1"/>
  <c r="M274" i="2"/>
  <c r="O274" i="2" s="1"/>
  <c r="M275" i="2"/>
  <c r="O275" i="2" s="1"/>
  <c r="M276" i="2"/>
  <c r="O276" i="2" s="1"/>
  <c r="M277" i="2"/>
  <c r="O277" i="2" s="1"/>
  <c r="M278" i="2"/>
  <c r="O278" i="2" s="1"/>
  <c r="M279" i="2"/>
  <c r="O279" i="2" s="1"/>
  <c r="M280" i="2"/>
  <c r="O280" i="2" s="1"/>
  <c r="M281" i="2"/>
  <c r="O281" i="2" s="1"/>
  <c r="M282" i="2"/>
  <c r="O282" i="2" s="1"/>
  <c r="M283" i="2"/>
  <c r="O283" i="2" s="1"/>
  <c r="M284" i="2"/>
  <c r="O284" i="2" s="1"/>
  <c r="M285" i="2"/>
  <c r="O285" i="2" s="1"/>
  <c r="M286" i="2"/>
  <c r="O286" i="2" s="1"/>
  <c r="M287" i="2"/>
  <c r="O287" i="2" s="1"/>
  <c r="M288" i="2"/>
  <c r="O288" i="2" s="1"/>
  <c r="M289" i="2"/>
  <c r="O289" i="2" s="1"/>
  <c r="M290" i="2"/>
  <c r="O290" i="2" s="1"/>
  <c r="M291" i="2"/>
  <c r="O291" i="2" s="1"/>
  <c r="M292" i="2"/>
  <c r="O292" i="2" s="1"/>
  <c r="M293" i="2"/>
  <c r="O293" i="2" s="1"/>
  <c r="M294" i="2"/>
  <c r="O294" i="2" s="1"/>
  <c r="M295" i="2"/>
  <c r="O295" i="2" s="1"/>
  <c r="M296" i="2"/>
  <c r="O296" i="2" s="1"/>
  <c r="M297" i="2"/>
  <c r="O297" i="2" s="1"/>
  <c r="M298" i="2"/>
  <c r="O298" i="2" s="1"/>
  <c r="M299" i="2"/>
  <c r="O299" i="2" s="1"/>
  <c r="M300" i="2"/>
  <c r="O300" i="2" s="1"/>
  <c r="M301" i="2"/>
  <c r="O301" i="2" s="1"/>
  <c r="M302" i="2"/>
  <c r="O302" i="2" s="1"/>
  <c r="M303" i="2"/>
  <c r="O303" i="2" s="1"/>
  <c r="M304" i="2"/>
  <c r="O304" i="2" s="1"/>
  <c r="M305" i="2"/>
  <c r="O305" i="2" s="1"/>
  <c r="M306" i="2"/>
  <c r="O306" i="2" s="1"/>
  <c r="M307" i="2"/>
  <c r="O307" i="2" s="1"/>
  <c r="M308" i="2"/>
  <c r="O308" i="2" s="1"/>
  <c r="M309" i="2"/>
  <c r="O309" i="2" s="1"/>
  <c r="M310" i="2"/>
  <c r="O310" i="2" s="1"/>
  <c r="M311" i="2"/>
  <c r="O311" i="2" s="1"/>
  <c r="M312" i="2"/>
  <c r="O312" i="2" s="1"/>
  <c r="M313" i="2"/>
  <c r="O313" i="2" s="1"/>
  <c r="M314" i="2"/>
  <c r="O314" i="2" s="1"/>
  <c r="M315" i="2"/>
  <c r="O315" i="2" s="1"/>
  <c r="M316" i="2"/>
  <c r="O316" i="2" s="1"/>
  <c r="M317" i="2"/>
  <c r="O317" i="2" s="1"/>
  <c r="M318" i="2"/>
  <c r="O318" i="2" s="1"/>
  <c r="M319" i="2"/>
  <c r="O319" i="2" s="1"/>
  <c r="M320" i="2"/>
  <c r="O320" i="2" s="1"/>
  <c r="M321" i="2"/>
  <c r="O321" i="2" s="1"/>
  <c r="M322" i="2"/>
  <c r="O322" i="2" s="1"/>
  <c r="M323" i="2"/>
  <c r="O323" i="2" s="1"/>
  <c r="M324" i="2"/>
  <c r="O324" i="2" s="1"/>
  <c r="M325" i="2"/>
  <c r="O325" i="2" s="1"/>
  <c r="M326" i="2"/>
  <c r="O326" i="2" s="1"/>
  <c r="M327" i="2"/>
  <c r="O327" i="2" s="1"/>
  <c r="M328" i="2"/>
  <c r="O328" i="2" s="1"/>
  <c r="M329" i="2"/>
  <c r="O329" i="2" s="1"/>
  <c r="M330" i="2"/>
  <c r="O330" i="2" s="1"/>
  <c r="M331" i="2"/>
  <c r="O331" i="2" s="1"/>
  <c r="M332" i="2"/>
  <c r="O332" i="2" s="1"/>
  <c r="M333" i="2"/>
  <c r="O333" i="2" s="1"/>
  <c r="M334" i="2"/>
  <c r="O334" i="2" s="1"/>
  <c r="M335" i="2"/>
  <c r="O335" i="2" s="1"/>
  <c r="M336" i="2"/>
  <c r="O336" i="2" s="1"/>
  <c r="M337" i="2"/>
  <c r="O337" i="2" s="1"/>
  <c r="M338" i="2"/>
  <c r="O338" i="2" s="1"/>
  <c r="M339" i="2"/>
  <c r="O339" i="2" s="1"/>
  <c r="M340" i="2"/>
  <c r="O340" i="2" s="1"/>
  <c r="M341" i="2"/>
  <c r="O341" i="2" s="1"/>
  <c r="M342" i="2"/>
  <c r="O342" i="2" s="1"/>
  <c r="M343" i="2"/>
  <c r="O343" i="2" s="1"/>
  <c r="M344" i="2"/>
  <c r="O344" i="2" s="1"/>
  <c r="M345" i="2"/>
  <c r="O345" i="2" s="1"/>
  <c r="M346" i="2"/>
  <c r="O346" i="2" s="1"/>
  <c r="M347" i="2"/>
  <c r="O347" i="2" s="1"/>
  <c r="M348" i="2"/>
  <c r="O348" i="2" s="1"/>
  <c r="M349" i="2"/>
  <c r="O349" i="2" s="1"/>
  <c r="M350" i="2"/>
  <c r="O350" i="2" s="1"/>
  <c r="M351" i="2"/>
  <c r="O351" i="2" s="1"/>
  <c r="M352" i="2"/>
  <c r="O352" i="2" s="1"/>
  <c r="M353" i="2"/>
  <c r="O353" i="2" s="1"/>
  <c r="M354" i="2"/>
  <c r="O354" i="2" s="1"/>
  <c r="M355" i="2"/>
  <c r="O355" i="2" s="1"/>
  <c r="M356" i="2"/>
  <c r="O356" i="2" s="1"/>
  <c r="M357" i="2"/>
  <c r="O357" i="2" s="1"/>
  <c r="M358" i="2"/>
  <c r="O358" i="2" s="1"/>
  <c r="M359" i="2"/>
  <c r="O359" i="2" s="1"/>
  <c r="M360" i="2"/>
  <c r="O360" i="2" s="1"/>
  <c r="M361" i="2"/>
  <c r="O361" i="2" s="1"/>
  <c r="M362" i="2"/>
  <c r="O362" i="2" s="1"/>
  <c r="M363" i="2"/>
  <c r="O363" i="2" s="1"/>
  <c r="M364" i="2"/>
  <c r="O364" i="2" s="1"/>
  <c r="M365" i="2"/>
  <c r="O365" i="2" s="1"/>
  <c r="M366" i="2"/>
  <c r="O366" i="2" s="1"/>
  <c r="M367" i="2"/>
  <c r="O367" i="2" s="1"/>
  <c r="M368" i="2"/>
  <c r="O368" i="2" s="1"/>
  <c r="M369" i="2"/>
  <c r="O369" i="2" s="1"/>
  <c r="M370" i="2"/>
  <c r="O370" i="2" s="1"/>
  <c r="M371" i="2"/>
  <c r="O371" i="2" s="1"/>
  <c r="M372" i="2"/>
  <c r="O372" i="2" s="1"/>
  <c r="M373" i="2"/>
  <c r="O373" i="2" s="1"/>
  <c r="M374" i="2"/>
  <c r="O374" i="2" s="1"/>
  <c r="M375" i="2"/>
  <c r="O375" i="2" s="1"/>
  <c r="M376" i="2"/>
  <c r="O376" i="2" s="1"/>
  <c r="M377" i="2"/>
  <c r="O377" i="2" s="1"/>
  <c r="M378" i="2"/>
  <c r="O378" i="2" s="1"/>
  <c r="M379" i="2"/>
  <c r="O379" i="2" s="1"/>
  <c r="M380" i="2"/>
  <c r="O380" i="2" s="1"/>
  <c r="M381" i="2"/>
  <c r="O381" i="2" s="1"/>
  <c r="M382" i="2"/>
  <c r="O382" i="2" s="1"/>
  <c r="M383" i="2"/>
  <c r="O383" i="2" s="1"/>
  <c r="M384" i="2"/>
  <c r="O384" i="2" s="1"/>
  <c r="M385" i="2"/>
  <c r="O385" i="2" s="1"/>
  <c r="M386" i="2"/>
  <c r="O386" i="2" s="1"/>
  <c r="M387" i="2"/>
  <c r="O387" i="2" s="1"/>
  <c r="M388" i="2"/>
  <c r="O388" i="2" s="1"/>
  <c r="M389" i="2"/>
  <c r="O389" i="2" s="1"/>
  <c r="M390" i="2"/>
  <c r="O390" i="2" s="1"/>
  <c r="M391" i="2"/>
  <c r="O391" i="2" s="1"/>
  <c r="M392" i="2"/>
  <c r="O392" i="2" s="1"/>
  <c r="M393" i="2"/>
  <c r="O393" i="2" s="1"/>
  <c r="M394" i="2"/>
  <c r="O394" i="2" s="1"/>
  <c r="M395" i="2"/>
  <c r="O395" i="2" s="1"/>
  <c r="M396" i="2"/>
  <c r="O396" i="2" s="1"/>
  <c r="M397" i="2"/>
  <c r="O397" i="2" s="1"/>
  <c r="M398" i="2"/>
  <c r="O398" i="2" s="1"/>
  <c r="M399" i="2"/>
  <c r="O399" i="2" s="1"/>
  <c r="M400" i="2"/>
  <c r="O400" i="2" s="1"/>
  <c r="M401" i="2"/>
  <c r="O401" i="2" s="1"/>
  <c r="M402" i="2"/>
  <c r="O402" i="2" s="1"/>
  <c r="M403" i="2"/>
  <c r="O403" i="2" s="1"/>
  <c r="M404" i="2"/>
  <c r="O404" i="2" s="1"/>
  <c r="M405" i="2"/>
  <c r="O405" i="2" s="1"/>
  <c r="M406" i="2"/>
  <c r="O406" i="2" s="1"/>
  <c r="M407" i="2"/>
  <c r="O407" i="2" s="1"/>
  <c r="M408" i="2"/>
  <c r="O408" i="2" s="1"/>
  <c r="M409" i="2"/>
  <c r="O409" i="2" s="1"/>
  <c r="M410" i="2"/>
  <c r="O410" i="2" s="1"/>
  <c r="M411" i="2"/>
  <c r="O411" i="2" s="1"/>
  <c r="M412" i="2"/>
  <c r="O412" i="2" s="1"/>
  <c r="M413" i="2"/>
  <c r="O413" i="2" s="1"/>
  <c r="M414" i="2"/>
  <c r="O414" i="2" s="1"/>
  <c r="M415" i="2"/>
  <c r="O415" i="2" s="1"/>
  <c r="M416" i="2"/>
  <c r="O416" i="2" s="1"/>
  <c r="M417" i="2"/>
  <c r="O417" i="2" s="1"/>
  <c r="M418" i="2"/>
  <c r="O418" i="2" s="1"/>
  <c r="M419" i="2"/>
  <c r="O419" i="2" s="1"/>
  <c r="M420" i="2"/>
  <c r="O420" i="2" s="1"/>
  <c r="M421" i="2"/>
  <c r="O421" i="2" s="1"/>
  <c r="M422" i="2"/>
  <c r="O422" i="2" s="1"/>
  <c r="M423" i="2"/>
  <c r="O423" i="2" s="1"/>
  <c r="M424" i="2"/>
  <c r="O424" i="2" s="1"/>
  <c r="M425" i="2"/>
  <c r="O425" i="2" s="1"/>
  <c r="M426" i="2"/>
  <c r="O426" i="2" s="1"/>
  <c r="M427" i="2"/>
  <c r="O427" i="2" s="1"/>
  <c r="M428" i="2"/>
  <c r="O428" i="2" s="1"/>
  <c r="M429" i="2"/>
  <c r="O429" i="2" s="1"/>
  <c r="M430" i="2"/>
  <c r="O430" i="2" s="1"/>
  <c r="M431" i="2"/>
  <c r="O431" i="2" s="1"/>
  <c r="M432" i="2"/>
  <c r="O432" i="2" s="1"/>
  <c r="M433" i="2"/>
  <c r="O433" i="2" s="1"/>
  <c r="M434" i="2"/>
  <c r="O434" i="2" s="1"/>
  <c r="M435" i="2"/>
  <c r="O435" i="2" s="1"/>
  <c r="M436" i="2"/>
  <c r="O436" i="2" s="1"/>
  <c r="M437" i="2"/>
  <c r="O437" i="2" s="1"/>
  <c r="M438" i="2"/>
  <c r="O438" i="2" s="1"/>
  <c r="M439" i="2"/>
  <c r="O439" i="2" s="1"/>
  <c r="M440" i="2"/>
  <c r="O440" i="2" s="1"/>
  <c r="M441" i="2"/>
  <c r="O441" i="2" s="1"/>
  <c r="M442" i="2"/>
  <c r="O442" i="2" s="1"/>
  <c r="M443" i="2"/>
  <c r="O443" i="2" s="1"/>
  <c r="M444" i="2"/>
  <c r="O444" i="2" s="1"/>
  <c r="M445" i="2"/>
  <c r="O445" i="2" s="1"/>
  <c r="M446" i="2"/>
  <c r="O446" i="2" s="1"/>
  <c r="M447" i="2"/>
  <c r="O447" i="2" s="1"/>
  <c r="M448" i="2"/>
  <c r="O448" i="2" s="1"/>
  <c r="M449" i="2"/>
  <c r="O449" i="2" s="1"/>
  <c r="M450" i="2"/>
  <c r="O450" i="2" s="1"/>
  <c r="M451" i="2"/>
  <c r="O451" i="2" s="1"/>
  <c r="M452" i="2"/>
  <c r="O452" i="2" s="1"/>
  <c r="M453" i="2"/>
  <c r="O453" i="2" s="1"/>
  <c r="M454" i="2"/>
  <c r="O454" i="2" s="1"/>
  <c r="M455" i="2"/>
  <c r="O455" i="2" s="1"/>
  <c r="M456" i="2"/>
  <c r="O456" i="2" s="1"/>
  <c r="M457" i="2"/>
  <c r="O457" i="2" s="1"/>
  <c r="M458" i="2"/>
  <c r="O458" i="2" s="1"/>
  <c r="M459" i="2"/>
  <c r="O459" i="2" s="1"/>
  <c r="M460" i="2"/>
  <c r="O460" i="2" s="1"/>
  <c r="M461" i="2"/>
  <c r="O461" i="2" s="1"/>
  <c r="M462" i="2"/>
  <c r="O462" i="2" s="1"/>
  <c r="M463" i="2"/>
  <c r="O463" i="2" s="1"/>
  <c r="M464" i="2"/>
  <c r="O464" i="2" s="1"/>
  <c r="M465" i="2"/>
  <c r="O465" i="2" s="1"/>
  <c r="M466" i="2"/>
  <c r="O466" i="2" s="1"/>
  <c r="M467" i="2"/>
  <c r="O467" i="2" s="1"/>
  <c r="M468" i="2"/>
  <c r="O468" i="2" s="1"/>
  <c r="M469" i="2"/>
  <c r="O469" i="2" s="1"/>
  <c r="M470" i="2"/>
  <c r="O470" i="2" s="1"/>
  <c r="M471" i="2"/>
  <c r="O471" i="2" s="1"/>
  <c r="M472" i="2"/>
  <c r="O472" i="2" s="1"/>
  <c r="M473" i="2"/>
  <c r="O473" i="2" s="1"/>
  <c r="M474" i="2"/>
  <c r="O474" i="2" s="1"/>
  <c r="M475" i="2"/>
  <c r="O475" i="2" s="1"/>
  <c r="M476" i="2"/>
  <c r="O476" i="2" s="1"/>
  <c r="M477" i="2"/>
  <c r="O477" i="2" s="1"/>
  <c r="M478" i="2"/>
  <c r="O478" i="2" s="1"/>
  <c r="M479" i="2"/>
  <c r="O479" i="2" s="1"/>
  <c r="M480" i="2"/>
  <c r="O480" i="2" s="1"/>
  <c r="M481" i="2"/>
  <c r="O481" i="2" s="1"/>
  <c r="M482" i="2"/>
  <c r="O482" i="2" s="1"/>
  <c r="M483" i="2"/>
  <c r="O483" i="2" s="1"/>
  <c r="M484" i="2"/>
  <c r="O484" i="2" s="1"/>
  <c r="M485" i="2"/>
  <c r="O485" i="2" s="1"/>
  <c r="M486" i="2"/>
  <c r="O486" i="2" s="1"/>
  <c r="M487" i="2"/>
  <c r="O487" i="2" s="1"/>
  <c r="M488" i="2"/>
  <c r="O488" i="2" s="1"/>
  <c r="M489" i="2"/>
  <c r="O489" i="2" s="1"/>
  <c r="M490" i="2"/>
  <c r="O490" i="2" s="1"/>
  <c r="M491" i="2"/>
  <c r="O491" i="2" s="1"/>
  <c r="M492" i="2"/>
  <c r="O492" i="2" s="1"/>
  <c r="M493" i="2"/>
  <c r="O493" i="2" s="1"/>
  <c r="M494" i="2"/>
  <c r="O494" i="2" s="1"/>
  <c r="M495" i="2"/>
  <c r="O495" i="2" s="1"/>
  <c r="M496" i="2"/>
  <c r="O496" i="2" s="1"/>
  <c r="M497" i="2"/>
  <c r="O497" i="2" s="1"/>
  <c r="M498" i="2"/>
  <c r="O498" i="2" s="1"/>
  <c r="M499" i="2"/>
  <c r="O499" i="2" s="1"/>
  <c r="M500" i="2"/>
  <c r="O500" i="2" s="1"/>
  <c r="M501" i="2"/>
  <c r="O501" i="2" s="1"/>
</calcChain>
</file>

<file path=xl/sharedStrings.xml><?xml version="1.0" encoding="utf-8"?>
<sst xmlns="http://schemas.openxmlformats.org/spreadsheetml/2006/main" count="11067" uniqueCount="1349">
  <si>
    <t>Transaction_ID</t>
  </si>
  <si>
    <t>Date</t>
  </si>
  <si>
    <t>Time</t>
  </si>
  <si>
    <t>Sender_Name</t>
  </si>
  <si>
    <t>Receiver_Name</t>
  </si>
  <si>
    <t>Amount</t>
  </si>
  <si>
    <t>Transaction_Type</t>
  </si>
  <si>
    <t>Location</t>
  </si>
  <si>
    <t>Device_Type</t>
  </si>
  <si>
    <t>Transaction_Status</t>
  </si>
  <si>
    <t>Bank_Name</t>
  </si>
  <si>
    <t>Fraud_Flag</t>
  </si>
  <si>
    <t>TXN1001</t>
  </si>
  <si>
    <t>13-06-2025</t>
  </si>
  <si>
    <t>01:08 AM</t>
  </si>
  <si>
    <t>Amira</t>
  </si>
  <si>
    <t>Unknown</t>
  </si>
  <si>
    <t>Recharge</t>
  </si>
  <si>
    <t>Bangalore</t>
  </si>
  <si>
    <t>Android</t>
  </si>
  <si>
    <t>Success</t>
  </si>
  <si>
    <t>Kotak</t>
  </si>
  <si>
    <t>Yes</t>
  </si>
  <si>
    <t>TXN1002</t>
  </si>
  <si>
    <t>09-01-2025</t>
  </si>
  <si>
    <t>01:35 AM</t>
  </si>
  <si>
    <t>Nitara</t>
  </si>
  <si>
    <t>Mumbai</t>
  </si>
  <si>
    <t>iPhone</t>
  </si>
  <si>
    <t>HDFC</t>
  </si>
  <si>
    <t>TXN1003</t>
  </si>
  <si>
    <t>31-05-2025</t>
  </si>
  <si>
    <t>06:44 AM</t>
  </si>
  <si>
    <t>Badal</t>
  </si>
  <si>
    <t>Myntra</t>
  </si>
  <si>
    <t>Shopping</t>
  </si>
  <si>
    <t>Kolkata</t>
  </si>
  <si>
    <t>ICICI</t>
  </si>
  <si>
    <t>No</t>
  </si>
  <si>
    <t>TXN1004</t>
  </si>
  <si>
    <t>25-02-2025</t>
  </si>
  <si>
    <t>09:06 AM</t>
  </si>
  <si>
    <t>Alia</t>
  </si>
  <si>
    <t>Amazon</t>
  </si>
  <si>
    <t>Transfer</t>
  </si>
  <si>
    <t>Pune</t>
  </si>
  <si>
    <t>Failed</t>
  </si>
  <si>
    <t>TXN1005</t>
  </si>
  <si>
    <t>12-01-2025</t>
  </si>
  <si>
    <t>09:35 AM</t>
  </si>
  <si>
    <t>Ojas</t>
  </si>
  <si>
    <t>Flipkart</t>
  </si>
  <si>
    <t>Delhi</t>
  </si>
  <si>
    <t>TXN1006</t>
  </si>
  <si>
    <t>30-06-2025</t>
  </si>
  <si>
    <t>02:54 AM</t>
  </si>
  <si>
    <t>Kaira</t>
  </si>
  <si>
    <t>Axis</t>
  </si>
  <si>
    <t>TXN1007</t>
  </si>
  <si>
    <t>27-04-2025</t>
  </si>
  <si>
    <t>11:13 AM</t>
  </si>
  <si>
    <t>Samar</t>
  </si>
  <si>
    <t>Zomato</t>
  </si>
  <si>
    <t>Bills</t>
  </si>
  <si>
    <t>TXN1008</t>
  </si>
  <si>
    <t>13-02-2025</t>
  </si>
  <si>
    <t>11:17 AM</t>
  </si>
  <si>
    <t>Pihu</t>
  </si>
  <si>
    <t>Food</t>
  </si>
  <si>
    <t>Canara Bank</t>
  </si>
  <si>
    <t>TXN1009</t>
  </si>
  <si>
    <t>28-02-2025</t>
  </si>
  <si>
    <t>04:04 PM</t>
  </si>
  <si>
    <t>Yashvi</t>
  </si>
  <si>
    <t>TXN1010</t>
  </si>
  <si>
    <t>08-05-2025</t>
  </si>
  <si>
    <t>08:08 PM</t>
  </si>
  <si>
    <t>Sara</t>
  </si>
  <si>
    <t>Swiggy</t>
  </si>
  <si>
    <t>Travel</t>
  </si>
  <si>
    <t>Punjab National Bank</t>
  </si>
  <si>
    <t>TXN1011</t>
  </si>
  <si>
    <t>20-04-2025</t>
  </si>
  <si>
    <t>05:32 PM</t>
  </si>
  <si>
    <t>Hiran</t>
  </si>
  <si>
    <t>Visakhapatnam</t>
  </si>
  <si>
    <t>TXN1012</t>
  </si>
  <si>
    <t>29-01-2025</t>
  </si>
  <si>
    <t>07:24 PM</t>
  </si>
  <si>
    <t>Ivan</t>
  </si>
  <si>
    <t>TXN1013</t>
  </si>
  <si>
    <t>22-05-2025</t>
  </si>
  <si>
    <t>09:48 AM</t>
  </si>
  <si>
    <t>Eva</t>
  </si>
  <si>
    <t>Uber</t>
  </si>
  <si>
    <t>Pending</t>
  </si>
  <si>
    <t>SBI</t>
  </si>
  <si>
    <t>TXN1014</t>
  </si>
  <si>
    <t>22-04-2025</t>
  </si>
  <si>
    <t>02:32 PM</t>
  </si>
  <si>
    <t>Kashvi</t>
  </si>
  <si>
    <t>TXN1015</t>
  </si>
  <si>
    <t>10-05-2025</t>
  </si>
  <si>
    <t>05:34 PM</t>
  </si>
  <si>
    <t>Khushi</t>
  </si>
  <si>
    <t>Hyderabad</t>
  </si>
  <si>
    <t>TXN1016</t>
  </si>
  <si>
    <t>03:15 PM</t>
  </si>
  <si>
    <t>Anvi</t>
  </si>
  <si>
    <t>TXN1017</t>
  </si>
  <si>
    <t>18-01-2025</t>
  </si>
  <si>
    <t>10:30 AM</t>
  </si>
  <si>
    <t>Ishita</t>
  </si>
  <si>
    <t>Chennai</t>
  </si>
  <si>
    <t>TXN1018</t>
  </si>
  <si>
    <t>19-04-2025</t>
  </si>
  <si>
    <t>12:25 PM</t>
  </si>
  <si>
    <t>Oorja</t>
  </si>
  <si>
    <t>TXN1019</t>
  </si>
  <si>
    <t>31-01-2025</t>
  </si>
  <si>
    <t>04:35 PM</t>
  </si>
  <si>
    <t>Shamik</t>
  </si>
  <si>
    <t>TXN1020</t>
  </si>
  <si>
    <t>11-06-2025</t>
  </si>
  <si>
    <t>12:04 AM</t>
  </si>
  <si>
    <t>Mamooty</t>
  </si>
  <si>
    <t>TXN1021</t>
  </si>
  <si>
    <t>24-02-2025</t>
  </si>
  <si>
    <t>09:51 PM</t>
  </si>
  <si>
    <t>Shlok</t>
  </si>
  <si>
    <t>TXN1022</t>
  </si>
  <si>
    <t>18-06-2025</t>
  </si>
  <si>
    <t>07:03 PM</t>
  </si>
  <si>
    <t>Madhup</t>
  </si>
  <si>
    <t>TXN1023</t>
  </si>
  <si>
    <t>28-03-2025</t>
  </si>
  <si>
    <t>01:34 PM</t>
  </si>
  <si>
    <t>Hridaan</t>
  </si>
  <si>
    <t>TXN1024</t>
  </si>
  <si>
    <t>13-03-2025</t>
  </si>
  <si>
    <t>08:06 AM</t>
  </si>
  <si>
    <t>Aayush</t>
  </si>
  <si>
    <t>TXN1025</t>
  </si>
  <si>
    <t>12-02-2025</t>
  </si>
  <si>
    <t>12:57 PM</t>
  </si>
  <si>
    <t>Taran</t>
  </si>
  <si>
    <t>TXN1026</t>
  </si>
  <si>
    <t>10-04-2025</t>
  </si>
  <si>
    <t>08:44 PM</t>
  </si>
  <si>
    <t>Emir</t>
  </si>
  <si>
    <t>TXN1027</t>
  </si>
  <si>
    <t>07:03 AM</t>
  </si>
  <si>
    <t>TXN1028</t>
  </si>
  <si>
    <t>10-02-2025</t>
  </si>
  <si>
    <t>Vihaan</t>
  </si>
  <si>
    <t>TXN1029</t>
  </si>
  <si>
    <t>26-05-2025</t>
  </si>
  <si>
    <t>07:26 AM</t>
  </si>
  <si>
    <t>Jhanvi</t>
  </si>
  <si>
    <t>TXN1030</t>
  </si>
  <si>
    <t>22-03-2025</t>
  </si>
  <si>
    <t>10:19 AM</t>
  </si>
  <si>
    <t>Nayantara</t>
  </si>
  <si>
    <t>TXN1031</t>
  </si>
  <si>
    <t>03-01-2025</t>
  </si>
  <si>
    <t>09:13 AM</t>
  </si>
  <si>
    <t>Aarav</t>
  </si>
  <si>
    <t>TXN1032</t>
  </si>
  <si>
    <t>04-03-2025</t>
  </si>
  <si>
    <t>08:45 PM</t>
  </si>
  <si>
    <t>Mishti</t>
  </si>
  <si>
    <t>TXN1033</t>
  </si>
  <si>
    <t>18-03-2025</t>
  </si>
  <si>
    <t>10:56 AM</t>
  </si>
  <si>
    <t>Ela</t>
  </si>
  <si>
    <t>TXN1034</t>
  </si>
  <si>
    <t>04-06-2025</t>
  </si>
  <si>
    <t>12:54 PM</t>
  </si>
  <si>
    <t>Amani</t>
  </si>
  <si>
    <t>TXN1035</t>
  </si>
  <si>
    <t>24-01-2025</t>
  </si>
  <si>
    <t>02:21 PM</t>
  </si>
  <si>
    <t>Rhea</t>
  </si>
  <si>
    <t>TXN1036</t>
  </si>
  <si>
    <t>24-04-2025</t>
  </si>
  <si>
    <t>06:56 AM</t>
  </si>
  <si>
    <t>TXN1037</t>
  </si>
  <si>
    <t>30-05-2025</t>
  </si>
  <si>
    <t>10:23 AM</t>
  </si>
  <si>
    <t>TXN1038</t>
  </si>
  <si>
    <t>05-03-2025</t>
  </si>
  <si>
    <t>07:09 PM</t>
  </si>
  <si>
    <t>Samarth</t>
  </si>
  <si>
    <t>TXN1039</t>
  </si>
  <si>
    <t>16-04-2025</t>
  </si>
  <si>
    <t>03:17 AM</t>
  </si>
  <si>
    <t>Neysa</t>
  </si>
  <si>
    <t>TXN1040</t>
  </si>
  <si>
    <t>01-05-2025</t>
  </si>
  <si>
    <t>08:52 PM</t>
  </si>
  <si>
    <t>Ryan</t>
  </si>
  <si>
    <t>TXN1041</t>
  </si>
  <si>
    <t>19-02-2025</t>
  </si>
  <si>
    <t>08:22 AM</t>
  </si>
  <si>
    <t>Yuvaan</t>
  </si>
  <si>
    <t>TXN1042</t>
  </si>
  <si>
    <t>08-03-2025</t>
  </si>
  <si>
    <t>07:27 AM</t>
  </si>
  <si>
    <t>TXN1043</t>
  </si>
  <si>
    <t>11-05-2025</t>
  </si>
  <si>
    <t>02:45 AM</t>
  </si>
  <si>
    <t>Tara</t>
  </si>
  <si>
    <t>TXN1044</t>
  </si>
  <si>
    <t>25-06-2025</t>
  </si>
  <si>
    <t>12:04 PM</t>
  </si>
  <si>
    <t>Siya</t>
  </si>
  <si>
    <t>TXN1045</t>
  </si>
  <si>
    <t>07:44 PM</t>
  </si>
  <si>
    <t>Aniruddh</t>
  </si>
  <si>
    <t>TXN1046</t>
  </si>
  <si>
    <t>20-06-2025</t>
  </si>
  <si>
    <t>11:19 AM</t>
  </si>
  <si>
    <t>Sana</t>
  </si>
  <si>
    <t>TXN1047</t>
  </si>
  <si>
    <t>23-02-2025</t>
  </si>
  <si>
    <t>04:28 PM</t>
  </si>
  <si>
    <t>TXN1048</t>
  </si>
  <si>
    <t>10:39 PM</t>
  </si>
  <si>
    <t>Nakul</t>
  </si>
  <si>
    <t>TXN1049</t>
  </si>
  <si>
    <t>22-06-2025</t>
  </si>
  <si>
    <t>12:02 PM</t>
  </si>
  <si>
    <t>Piya</t>
  </si>
  <si>
    <t>TXN1050</t>
  </si>
  <si>
    <t>12:24 PM</t>
  </si>
  <si>
    <t>Ira</t>
  </si>
  <si>
    <t>TXN1051</t>
  </si>
  <si>
    <t>17-06-2025</t>
  </si>
  <si>
    <t>09:14 AM</t>
  </si>
  <si>
    <t>TXN1052</t>
  </si>
  <si>
    <t>08:42 PM</t>
  </si>
  <si>
    <t>Aaina</t>
  </si>
  <si>
    <t>TXN1053</t>
  </si>
  <si>
    <t>08:55 PM</t>
  </si>
  <si>
    <t>TXN1054</t>
  </si>
  <si>
    <t>10:15 PM</t>
  </si>
  <si>
    <t>Myra</t>
  </si>
  <si>
    <t>TXN1055</t>
  </si>
  <si>
    <t>15-03-2025</t>
  </si>
  <si>
    <t>04:08 PM</t>
  </si>
  <si>
    <t>Purab</t>
  </si>
  <si>
    <t>TXN1056</t>
  </si>
  <si>
    <t>09-02-2025</t>
  </si>
  <si>
    <t>07:34 PM</t>
  </si>
  <si>
    <t>Renee</t>
  </si>
  <si>
    <t>TXN1057</t>
  </si>
  <si>
    <t>18-04-2025</t>
  </si>
  <si>
    <t>06:24 AM</t>
  </si>
  <si>
    <t>Manjari</t>
  </si>
  <si>
    <t>TXN1058</t>
  </si>
  <si>
    <t>07:47 PM</t>
  </si>
  <si>
    <t>Prisha</t>
  </si>
  <si>
    <t>TXN1059</t>
  </si>
  <si>
    <t>04:51 PM</t>
  </si>
  <si>
    <t xml:space="preserve">Yuvraj </t>
  </si>
  <si>
    <t>TXN1060</t>
  </si>
  <si>
    <t>02-02-2025</t>
  </si>
  <si>
    <t>06:36 AM</t>
  </si>
  <si>
    <t>Fateh</t>
  </si>
  <si>
    <t>TXN1061</t>
  </si>
  <si>
    <t>04-02-2025</t>
  </si>
  <si>
    <t>07:20 AM</t>
  </si>
  <si>
    <t>Zeeshan</t>
  </si>
  <si>
    <t>TXN1062</t>
  </si>
  <si>
    <t>08-04-2025</t>
  </si>
  <si>
    <t>07:30 PM</t>
  </si>
  <si>
    <t>Manikya</t>
  </si>
  <si>
    <t>TXN1063</t>
  </si>
  <si>
    <t>16-06-2025</t>
  </si>
  <si>
    <t>12:12 AM</t>
  </si>
  <si>
    <t>Seher</t>
  </si>
  <si>
    <t>TXN1064</t>
  </si>
  <si>
    <t>02-05-2025</t>
  </si>
  <si>
    <t>12:16 PM</t>
  </si>
  <si>
    <t>Bhavin</t>
  </si>
  <si>
    <t>TXN1065</t>
  </si>
  <si>
    <t>30-01-2025</t>
  </si>
  <si>
    <t>03:01 PM</t>
  </si>
  <si>
    <t>Tiya</t>
  </si>
  <si>
    <t>TXN1066</t>
  </si>
  <si>
    <t>20-02-2025</t>
  </si>
  <si>
    <t>12:54 AM</t>
  </si>
  <si>
    <t>Himmat</t>
  </si>
  <si>
    <t>TXN1067</t>
  </si>
  <si>
    <t>10:00 PM</t>
  </si>
  <si>
    <t>TXN1068</t>
  </si>
  <si>
    <t>03-04-2025</t>
  </si>
  <si>
    <t>08:27 PM</t>
  </si>
  <si>
    <t>Miraya</t>
  </si>
  <si>
    <t>TXN1069</t>
  </si>
  <si>
    <t>04-05-2025</t>
  </si>
  <si>
    <t>02:53 PM</t>
  </si>
  <si>
    <t>TXN1070</t>
  </si>
  <si>
    <t>29-04-2025</t>
  </si>
  <si>
    <t>06:31 PM</t>
  </si>
  <si>
    <t>TXN1071</t>
  </si>
  <si>
    <t>01-04-2025</t>
  </si>
  <si>
    <t>02:56 PM</t>
  </si>
  <si>
    <t>TXN1072</t>
  </si>
  <si>
    <t>22-01-2025</t>
  </si>
  <si>
    <t>09:44 PM</t>
  </si>
  <si>
    <t>Saira</t>
  </si>
  <si>
    <t>TXN1073</t>
  </si>
  <si>
    <t>01:37 PM</t>
  </si>
  <si>
    <t>Romil</t>
  </si>
  <si>
    <t>TXN1074</t>
  </si>
  <si>
    <t>30-03-2025</t>
  </si>
  <si>
    <t>04:29 PM</t>
  </si>
  <si>
    <t>Anika</t>
  </si>
  <si>
    <t>TXN1075</t>
  </si>
  <si>
    <t>Ayesha</t>
  </si>
  <si>
    <t>TXN1076</t>
  </si>
  <si>
    <t>10:06 PM</t>
  </si>
  <si>
    <t>Riaan</t>
  </si>
  <si>
    <t>TXN1077</t>
  </si>
  <si>
    <t>15-02-2025</t>
  </si>
  <si>
    <t>10:03 AM</t>
  </si>
  <si>
    <t>Dharmajan</t>
  </si>
  <si>
    <t>TXN1078</t>
  </si>
  <si>
    <t>27-01-2025</t>
  </si>
  <si>
    <t>03:28 PM</t>
  </si>
  <si>
    <t>Taimur</t>
  </si>
  <si>
    <t>TXN1079</t>
  </si>
  <si>
    <t>03-05-2025</t>
  </si>
  <si>
    <t>03:04 AM</t>
  </si>
  <si>
    <t>Nirvaan</t>
  </si>
  <si>
    <t>TXN1080</t>
  </si>
  <si>
    <t>19-03-2025</t>
  </si>
  <si>
    <t>12:38 AM</t>
  </si>
  <si>
    <t>Elakshi</t>
  </si>
  <si>
    <t>TXN1081</t>
  </si>
  <si>
    <t>03:03 PM</t>
  </si>
  <si>
    <t>Tejas</t>
  </si>
  <si>
    <t>TXN1082</t>
  </si>
  <si>
    <t>09-03-2025</t>
  </si>
  <si>
    <t>01:04 PM</t>
  </si>
  <si>
    <t>TXN1083</t>
  </si>
  <si>
    <t>26-06-2025</t>
  </si>
  <si>
    <t>07:45 AM</t>
  </si>
  <si>
    <t>TXN1084</t>
  </si>
  <si>
    <t>01-03-2025</t>
  </si>
  <si>
    <t>12:34 PM</t>
  </si>
  <si>
    <t>TXN1085</t>
  </si>
  <si>
    <t>19-01-2025</t>
  </si>
  <si>
    <t>11:28 PM</t>
  </si>
  <si>
    <t>TXN1086</t>
  </si>
  <si>
    <t>29-06-2025</t>
  </si>
  <si>
    <t>10:28 PM</t>
  </si>
  <si>
    <t>Abram</t>
  </si>
  <si>
    <t>TXN1087</t>
  </si>
  <si>
    <t>24-03-2025</t>
  </si>
  <si>
    <t>08:53 AM</t>
  </si>
  <si>
    <t>TXN1088</t>
  </si>
  <si>
    <t>14-02-2025</t>
  </si>
  <si>
    <t>08:37 PM</t>
  </si>
  <si>
    <t>TXN1089</t>
  </si>
  <si>
    <t>31-03-2025</t>
  </si>
  <si>
    <t>09:21 AM</t>
  </si>
  <si>
    <t>Sahil</t>
  </si>
  <si>
    <t>TXN1090</t>
  </si>
  <si>
    <t>13-04-2025</t>
  </si>
  <si>
    <t>Zain</t>
  </si>
  <si>
    <t>TXN1091</t>
  </si>
  <si>
    <t>12-05-2025</t>
  </si>
  <si>
    <t>08:12 PM</t>
  </si>
  <si>
    <t xml:space="preserve">Inaaya </t>
  </si>
  <si>
    <t>TXN1092</t>
  </si>
  <si>
    <t>14-01-2025</t>
  </si>
  <si>
    <t>Nishith</t>
  </si>
  <si>
    <t>TXN1093</t>
  </si>
  <si>
    <t>05-06-2025</t>
  </si>
  <si>
    <t>11:00 AM</t>
  </si>
  <si>
    <t>Zoya</t>
  </si>
  <si>
    <t>TXN1094</t>
  </si>
  <si>
    <t>10:18 AM</t>
  </si>
  <si>
    <t>Arnav</t>
  </si>
  <si>
    <t>TXN1095</t>
  </si>
  <si>
    <t>10:58 AM</t>
  </si>
  <si>
    <t>TXN1096</t>
  </si>
  <si>
    <t>29-03-2025</t>
  </si>
  <si>
    <t>02:18 PM</t>
  </si>
  <si>
    <t>Diya</t>
  </si>
  <si>
    <t>TXN1097</t>
  </si>
  <si>
    <t>25-04-2025</t>
  </si>
  <si>
    <t>04:24 PM</t>
  </si>
  <si>
    <t>Devansh</t>
  </si>
  <si>
    <t>TXN1098</t>
  </si>
  <si>
    <t>28-06-2025</t>
  </si>
  <si>
    <t>01:02 PM</t>
  </si>
  <si>
    <t>Trisha</t>
  </si>
  <si>
    <t>TXN1099</t>
  </si>
  <si>
    <t>09-04-2025</t>
  </si>
  <si>
    <t>10:08 AM</t>
  </si>
  <si>
    <t>TXN1100</t>
  </si>
  <si>
    <t>26-01-2025</t>
  </si>
  <si>
    <t>06:26 AM</t>
  </si>
  <si>
    <t>Adah</t>
  </si>
  <si>
    <t>TXN1101</t>
  </si>
  <si>
    <t>08:54 AM</t>
  </si>
  <si>
    <t>Advika</t>
  </si>
  <si>
    <t>TXN1102</t>
  </si>
  <si>
    <t>05-05-2025</t>
  </si>
  <si>
    <t>08:43 AM</t>
  </si>
  <si>
    <t>TXN1103</t>
  </si>
  <si>
    <t>09:44 AM</t>
  </si>
  <si>
    <t>TXN1104</t>
  </si>
  <si>
    <t>15-01-2025</t>
  </si>
  <si>
    <t>07:33 PM</t>
  </si>
  <si>
    <t>Parinaaz</t>
  </si>
  <si>
    <t>TXN1105</t>
  </si>
  <si>
    <t>21-01-2025</t>
  </si>
  <si>
    <t>01:09 PM</t>
  </si>
  <si>
    <t>TXN1106</t>
  </si>
  <si>
    <t>28-04-2025</t>
  </si>
  <si>
    <t>08:34 PM</t>
  </si>
  <si>
    <t>TXN1107</t>
  </si>
  <si>
    <t>02:12 PM</t>
  </si>
  <si>
    <t>Vedika</t>
  </si>
  <si>
    <t>TXN1108</t>
  </si>
  <si>
    <t xml:space="preserve">Ahana </t>
  </si>
  <si>
    <t>TXN1109</t>
  </si>
  <si>
    <t>09:49 PM</t>
  </si>
  <si>
    <t>TXN1110</t>
  </si>
  <si>
    <t>18-02-2025</t>
  </si>
  <si>
    <t>10:57 AM</t>
  </si>
  <si>
    <t>TXN1111</t>
  </si>
  <si>
    <t>10:20 AM</t>
  </si>
  <si>
    <t>Dishani</t>
  </si>
  <si>
    <t>TXN1112</t>
  </si>
  <si>
    <t>19-05-2025</t>
  </si>
  <si>
    <t>10:53 PM</t>
  </si>
  <si>
    <t>Indranil</t>
  </si>
  <si>
    <t>TXN1113</t>
  </si>
  <si>
    <t>17-03-2025</t>
  </si>
  <si>
    <t>09:09 AM</t>
  </si>
  <si>
    <t>TXN1114</t>
  </si>
  <si>
    <t>04-04-2025</t>
  </si>
  <si>
    <t>12:34 AM</t>
  </si>
  <si>
    <t>TXN1115</t>
  </si>
  <si>
    <t>05:14 PM</t>
  </si>
  <si>
    <t>Samaira</t>
  </si>
  <si>
    <t>TXN1116</t>
  </si>
  <si>
    <t>25-03-2025</t>
  </si>
  <si>
    <t>08:58 AM</t>
  </si>
  <si>
    <t>Charvi</t>
  </si>
  <si>
    <t>TXN1117</t>
  </si>
  <si>
    <t>09:15 PM</t>
  </si>
  <si>
    <t>Baiju</t>
  </si>
  <si>
    <t>TXN1118</t>
  </si>
  <si>
    <t>21-06-2025</t>
  </si>
  <si>
    <t>07:46 PM</t>
  </si>
  <si>
    <t>Darshit</t>
  </si>
  <si>
    <t>TXN1119</t>
  </si>
  <si>
    <t>06-05-2025</t>
  </si>
  <si>
    <t>07:13 AM</t>
  </si>
  <si>
    <t>TXN1120</t>
  </si>
  <si>
    <t>05:17 PM</t>
  </si>
  <si>
    <t>Pranay</t>
  </si>
  <si>
    <t>TXN1121</t>
  </si>
  <si>
    <t>06:15 AM</t>
  </si>
  <si>
    <t>Urvi</t>
  </si>
  <si>
    <t>TXN1122</t>
  </si>
  <si>
    <t>01:50 PM</t>
  </si>
  <si>
    <t>TXN1123</t>
  </si>
  <si>
    <t>03-02-2025</t>
  </si>
  <si>
    <t>11:55 AM</t>
  </si>
  <si>
    <t>Zaina</t>
  </si>
  <si>
    <t>TXN1124</t>
  </si>
  <si>
    <t>02-03-2025</t>
  </si>
  <si>
    <t>11:08 AM</t>
  </si>
  <si>
    <t>TXN1125</t>
  </si>
  <si>
    <t>Yakshit</t>
  </si>
  <si>
    <t>TXN1126</t>
  </si>
  <si>
    <t>14-05-2025</t>
  </si>
  <si>
    <t>06:54 AM</t>
  </si>
  <si>
    <t>Vritika</t>
  </si>
  <si>
    <t>TXN1127</t>
  </si>
  <si>
    <t>08:38 AM</t>
  </si>
  <si>
    <t>Heer</t>
  </si>
  <si>
    <t>TXN1128</t>
  </si>
  <si>
    <t>09-06-2025</t>
  </si>
  <si>
    <t>04:33 PM</t>
  </si>
  <si>
    <t>TXN1129</t>
  </si>
  <si>
    <t>21-04-2025</t>
  </si>
  <si>
    <t>11:27 PM</t>
  </si>
  <si>
    <t>Miraan</t>
  </si>
  <si>
    <t>TXN1130</t>
  </si>
  <si>
    <t>09:20 AM</t>
  </si>
  <si>
    <t>TXN1131</t>
  </si>
  <si>
    <t>12:06 AM</t>
  </si>
  <si>
    <t>TXN1132</t>
  </si>
  <si>
    <t>04:26 PM</t>
  </si>
  <si>
    <t>Eshani</t>
  </si>
  <si>
    <t>TXN1133</t>
  </si>
  <si>
    <t>03:36 PM</t>
  </si>
  <si>
    <t>Aarna</t>
  </si>
  <si>
    <t>TXN1134</t>
  </si>
  <si>
    <t>27-02-2025</t>
  </si>
  <si>
    <t>05:36 PM</t>
  </si>
  <si>
    <t>TXN1135</t>
  </si>
  <si>
    <t>06:53 AM</t>
  </si>
  <si>
    <t>Jayant</t>
  </si>
  <si>
    <t>TXN1136</t>
  </si>
  <si>
    <t>05:55 PM</t>
  </si>
  <si>
    <t>TXN1137</t>
  </si>
  <si>
    <t>12-06-2025</t>
  </si>
  <si>
    <t>10:26 PM</t>
  </si>
  <si>
    <t>Shayak</t>
  </si>
  <si>
    <t>TXN1138</t>
  </si>
  <si>
    <t>21-03-2025</t>
  </si>
  <si>
    <t>08:10 AM</t>
  </si>
  <si>
    <t>TXN1139</t>
  </si>
  <si>
    <t>19-06-2025</t>
  </si>
  <si>
    <t>08:13 PM</t>
  </si>
  <si>
    <t>Onkar</t>
  </si>
  <si>
    <t>TXN1140</t>
  </si>
  <si>
    <t>14-03-2025</t>
  </si>
  <si>
    <t>09:19 PM</t>
  </si>
  <si>
    <t>Biju</t>
  </si>
  <si>
    <t>TXN1141</t>
  </si>
  <si>
    <t>01:48 AM</t>
  </si>
  <si>
    <t>TXN1142</t>
  </si>
  <si>
    <t>02-01-2025</t>
  </si>
  <si>
    <t>11:34 AM</t>
  </si>
  <si>
    <t>TXN1143</t>
  </si>
  <si>
    <t>11-01-2025</t>
  </si>
  <si>
    <t>08:36 AM</t>
  </si>
  <si>
    <t>Anay</t>
  </si>
  <si>
    <t>TXN1144</t>
  </si>
  <si>
    <t>17-04-2025</t>
  </si>
  <si>
    <t>06:51 AM</t>
  </si>
  <si>
    <t>TXN1145</t>
  </si>
  <si>
    <t>28-01-2025</t>
  </si>
  <si>
    <t>06:25 PM</t>
  </si>
  <si>
    <t>TXN1146</t>
  </si>
  <si>
    <t>11:57 PM</t>
  </si>
  <si>
    <t>TXN1147</t>
  </si>
  <si>
    <t>07-02-2025</t>
  </si>
  <si>
    <t>02:38 PM</t>
  </si>
  <si>
    <t>TXN1148</t>
  </si>
  <si>
    <t>07-05-2025</t>
  </si>
  <si>
    <t>08:41 PM</t>
  </si>
  <si>
    <t>TXN1149</t>
  </si>
  <si>
    <t>03:37 PM</t>
  </si>
  <si>
    <t>TXN1150</t>
  </si>
  <si>
    <t>07:04 AM</t>
  </si>
  <si>
    <t>Dhruv</t>
  </si>
  <si>
    <t>TXN1151</t>
  </si>
  <si>
    <t>07:41 AM</t>
  </si>
  <si>
    <t>TXN1152</t>
  </si>
  <si>
    <t>09-05-2025</t>
  </si>
  <si>
    <t>Zara</t>
  </si>
  <si>
    <t>TXN1153</t>
  </si>
  <si>
    <t>23-04-2025</t>
  </si>
  <si>
    <t>10:23 PM</t>
  </si>
  <si>
    <t>TXN1154</t>
  </si>
  <si>
    <t>04:06 PM</t>
  </si>
  <si>
    <t>TXN1155</t>
  </si>
  <si>
    <t>10:37 AM</t>
  </si>
  <si>
    <t>TXN1156</t>
  </si>
  <si>
    <t>08:24 AM</t>
  </si>
  <si>
    <t>TXN1157</t>
  </si>
  <si>
    <t>07:01 PM</t>
  </si>
  <si>
    <t>Keya</t>
  </si>
  <si>
    <t>TXN1158</t>
  </si>
  <si>
    <t>12:09 PM</t>
  </si>
  <si>
    <t>TXN1159</t>
  </si>
  <si>
    <t>10:21 PM</t>
  </si>
  <si>
    <t>Tushar</t>
  </si>
  <si>
    <t>TXN1160</t>
  </si>
  <si>
    <t>16-02-2025</t>
  </si>
  <si>
    <t>11:02 AM</t>
  </si>
  <si>
    <t>TXN1161</t>
  </si>
  <si>
    <t>03:50 PM</t>
  </si>
  <si>
    <t>Misha</t>
  </si>
  <si>
    <t>TXN1162</t>
  </si>
  <si>
    <t>09:23 PM</t>
  </si>
  <si>
    <t>TXN1163</t>
  </si>
  <si>
    <t>11:51 AM</t>
  </si>
  <si>
    <t>TXN1164</t>
  </si>
  <si>
    <t>09:54 AM</t>
  </si>
  <si>
    <t>TXN1165</t>
  </si>
  <si>
    <t>11-03-2025</t>
  </si>
  <si>
    <t>10:05 AM</t>
  </si>
  <si>
    <t>TXN1166</t>
  </si>
  <si>
    <t>02:24 AM</t>
  </si>
  <si>
    <t>Shray</t>
  </si>
  <si>
    <t>TXN1167</t>
  </si>
  <si>
    <t>23-03-2025</t>
  </si>
  <si>
    <t>TXN1168</t>
  </si>
  <si>
    <t>09:00 PM</t>
  </si>
  <si>
    <t>Ivana</t>
  </si>
  <si>
    <t>TXN1169</t>
  </si>
  <si>
    <t>08-02-2025</t>
  </si>
  <si>
    <t>10:49 PM</t>
  </si>
  <si>
    <t>TXN1170</t>
  </si>
  <si>
    <t>13-01-2025</t>
  </si>
  <si>
    <t>08:53 PM</t>
  </si>
  <si>
    <t>TXN1171</t>
  </si>
  <si>
    <t>28-05-2025</t>
  </si>
  <si>
    <t>03:39 PM</t>
  </si>
  <si>
    <t>TXN1172</t>
  </si>
  <si>
    <t>17-02-2025</t>
  </si>
  <si>
    <t>10:33 PM</t>
  </si>
  <si>
    <t>Nitya</t>
  </si>
  <si>
    <t>TXN1173</t>
  </si>
  <si>
    <t>02:22 PM</t>
  </si>
  <si>
    <t>Navya</t>
  </si>
  <si>
    <t>TXN1174</t>
  </si>
  <si>
    <t>04:22 PM</t>
  </si>
  <si>
    <t>TXN1175</t>
  </si>
  <si>
    <t>11:04 AM</t>
  </si>
  <si>
    <t>Shalv</t>
  </si>
  <si>
    <t>TXN1176</t>
  </si>
  <si>
    <t>07:32 AM</t>
  </si>
  <si>
    <t>TXN1177</t>
  </si>
  <si>
    <t>15-06-2025</t>
  </si>
  <si>
    <t>07:21 AM</t>
  </si>
  <si>
    <t>Uthkarsh</t>
  </si>
  <si>
    <t>TXN1178</t>
  </si>
  <si>
    <t>08:11 PM</t>
  </si>
  <si>
    <t>Vaibhav</t>
  </si>
  <si>
    <t>TXN1179</t>
  </si>
  <si>
    <t>10-03-2025</t>
  </si>
  <si>
    <t>07:38 PM</t>
  </si>
  <si>
    <t>Divyansh</t>
  </si>
  <si>
    <t>TXN1180</t>
  </si>
  <si>
    <t>03:45 PM</t>
  </si>
  <si>
    <t>Adira</t>
  </si>
  <si>
    <t>TXN1181</t>
  </si>
  <si>
    <t>TXN1182</t>
  </si>
  <si>
    <t>14-04-2025</t>
  </si>
  <si>
    <t>11:54 AM</t>
  </si>
  <si>
    <t>Rasha</t>
  </si>
  <si>
    <t>TXN1183</t>
  </si>
  <si>
    <t>05:02 PM</t>
  </si>
  <si>
    <t>TXN1184</t>
  </si>
  <si>
    <t>10:25 AM</t>
  </si>
  <si>
    <t>TXN1185</t>
  </si>
  <si>
    <t>07-01-2025</t>
  </si>
  <si>
    <t>10:07 PM</t>
  </si>
  <si>
    <t>Lagan</t>
  </si>
  <si>
    <t>TXN1186</t>
  </si>
  <si>
    <t>09:08 PM</t>
  </si>
  <si>
    <t>Lakshit</t>
  </si>
  <si>
    <t>TXN1187</t>
  </si>
  <si>
    <t>04:45 PM</t>
  </si>
  <si>
    <t>TXN1188</t>
  </si>
  <si>
    <t>05:07 PM</t>
  </si>
  <si>
    <t>TXN1189</t>
  </si>
  <si>
    <t>05:08 PM</t>
  </si>
  <si>
    <t>Gatik</t>
  </si>
  <si>
    <t>TXN1190</t>
  </si>
  <si>
    <t>07:04 PM</t>
  </si>
  <si>
    <t>TXN1191</t>
  </si>
  <si>
    <t>26-04-2025</t>
  </si>
  <si>
    <t>05:40 PM</t>
  </si>
  <si>
    <t>Azad</t>
  </si>
  <si>
    <t>TXN1192</t>
  </si>
  <si>
    <t>10:10 AM</t>
  </si>
  <si>
    <t>TXN1193</t>
  </si>
  <si>
    <t>12:17 PM</t>
  </si>
  <si>
    <t>TXN1194</t>
  </si>
  <si>
    <t>10:39 AM</t>
  </si>
  <si>
    <t>TXN1195</t>
  </si>
  <si>
    <t>01:39 AM</t>
  </si>
  <si>
    <t>Dhanuk</t>
  </si>
  <si>
    <t>TXN1196</t>
  </si>
  <si>
    <t>16-03-2025</t>
  </si>
  <si>
    <t>09:25 PM</t>
  </si>
  <si>
    <t>TXN1197</t>
  </si>
  <si>
    <t>16-01-2025</t>
  </si>
  <si>
    <t>09:21 PM</t>
  </si>
  <si>
    <t>TXN1198</t>
  </si>
  <si>
    <t>05:48 PM</t>
  </si>
  <si>
    <t>TXN1199</t>
  </si>
  <si>
    <t>30-04-2025</t>
  </si>
  <si>
    <t>01:06 AM</t>
  </si>
  <si>
    <t>TXN1200</t>
  </si>
  <si>
    <t>11:59 AM</t>
  </si>
  <si>
    <t>Nirvi</t>
  </si>
  <si>
    <t>TXN1201</t>
  </si>
  <si>
    <t>09:01 PM</t>
  </si>
  <si>
    <t>Veer</t>
  </si>
  <si>
    <t>TXN1202</t>
  </si>
  <si>
    <t>03-03-2025</t>
  </si>
  <si>
    <t>07:31 AM</t>
  </si>
  <si>
    <t>TXN1203</t>
  </si>
  <si>
    <t>02:48 PM</t>
  </si>
  <si>
    <t>Indrajit</t>
  </si>
  <si>
    <t>TXN1204</t>
  </si>
  <si>
    <t>05:04 PM</t>
  </si>
  <si>
    <t>Shanaya</t>
  </si>
  <si>
    <t>TXN1205</t>
  </si>
  <si>
    <t>09:25 AM</t>
  </si>
  <si>
    <t>Umang</t>
  </si>
  <si>
    <t>TXN1206</t>
  </si>
  <si>
    <t>06-02-2025</t>
  </si>
  <si>
    <t>06:02 PM</t>
  </si>
  <si>
    <t>TXN1207</t>
  </si>
  <si>
    <t>10:59 PM</t>
  </si>
  <si>
    <t>TXN1208</t>
  </si>
  <si>
    <t>10:45 PM</t>
  </si>
  <si>
    <t>TXN1209</t>
  </si>
  <si>
    <t>05-04-2025</t>
  </si>
  <si>
    <t>07:50 PM</t>
  </si>
  <si>
    <t>Jayesh</t>
  </si>
  <si>
    <t>TXN1210</t>
  </si>
  <si>
    <t>29-05-2025</t>
  </si>
  <si>
    <t>07:10 AM</t>
  </si>
  <si>
    <t>TXN1211</t>
  </si>
  <si>
    <t>01:28 AM</t>
  </si>
  <si>
    <t>Vidur</t>
  </si>
  <si>
    <t>TXN1212</t>
  </si>
  <si>
    <t>09:46 PM</t>
  </si>
  <si>
    <t>Indrans</t>
  </si>
  <si>
    <t>TXN1213</t>
  </si>
  <si>
    <t>24-05-2025</t>
  </si>
  <si>
    <t>09:20 PM</t>
  </si>
  <si>
    <t>Rohan</t>
  </si>
  <si>
    <t>TXN1214</t>
  </si>
  <si>
    <t>20-05-2025</t>
  </si>
  <si>
    <t>TXN1215</t>
  </si>
  <si>
    <t>03:44 PM</t>
  </si>
  <si>
    <t>TXN1216</t>
  </si>
  <si>
    <t>02:36 PM</t>
  </si>
  <si>
    <t>TXN1217</t>
  </si>
  <si>
    <t>08:41 AM</t>
  </si>
  <si>
    <t>TXN1218</t>
  </si>
  <si>
    <t>18-05-2025</t>
  </si>
  <si>
    <t>02:39 PM</t>
  </si>
  <si>
    <t>TXN1219</t>
  </si>
  <si>
    <t>16-05-2025</t>
  </si>
  <si>
    <t>TXN1220</t>
  </si>
  <si>
    <t>Jiya</t>
  </si>
  <si>
    <t>TXN1221</t>
  </si>
  <si>
    <t>11:34 PM</t>
  </si>
  <si>
    <t>TXN1222</t>
  </si>
  <si>
    <t>10-01-2025</t>
  </si>
  <si>
    <t>09:55 PM</t>
  </si>
  <si>
    <t>TXN1223</t>
  </si>
  <si>
    <t>03:34 PM</t>
  </si>
  <si>
    <t>TXN1224</t>
  </si>
  <si>
    <t>09:46 AM</t>
  </si>
  <si>
    <t>TXN1225</t>
  </si>
  <si>
    <t>04-01-2025</t>
  </si>
  <si>
    <t>03:48 PM</t>
  </si>
  <si>
    <t>TXN1226</t>
  </si>
  <si>
    <t>04:42 PM</t>
  </si>
  <si>
    <t>Krish</t>
  </si>
  <si>
    <t>TXN1227</t>
  </si>
  <si>
    <t>02:28 PM</t>
  </si>
  <si>
    <t>TXN1228</t>
  </si>
  <si>
    <t>27-05-2025</t>
  </si>
  <si>
    <t>01:42 AM</t>
  </si>
  <si>
    <t>TXN1229</t>
  </si>
  <si>
    <t>03:40 PM</t>
  </si>
  <si>
    <t>TXN1230</t>
  </si>
  <si>
    <t>26-02-2025</t>
  </si>
  <si>
    <t>10:38 AM</t>
  </si>
  <si>
    <t>TXN1231</t>
  </si>
  <si>
    <t>12:43 PM</t>
  </si>
  <si>
    <t>Drishya</t>
  </si>
  <si>
    <t>TXN1232</t>
  </si>
  <si>
    <t>12:36 AM</t>
  </si>
  <si>
    <t>Gokul</t>
  </si>
  <si>
    <t>TXN1233</t>
  </si>
  <si>
    <t>11:05 PM</t>
  </si>
  <si>
    <t>TXN1234</t>
  </si>
  <si>
    <t>07:43 AM</t>
  </si>
  <si>
    <t>TXN1235</t>
  </si>
  <si>
    <t>01-01-2025</t>
  </si>
  <si>
    <t>TXN1236</t>
  </si>
  <si>
    <t>10:46 AM</t>
  </si>
  <si>
    <t>Anahi</t>
  </si>
  <si>
    <t>TXN1237</t>
  </si>
  <si>
    <t>07-04-2025</t>
  </si>
  <si>
    <t>10:07 AM</t>
  </si>
  <si>
    <t>TXN1238</t>
  </si>
  <si>
    <t>06:43 AM</t>
  </si>
  <si>
    <t>TXN1239</t>
  </si>
  <si>
    <t>TXN1240</t>
  </si>
  <si>
    <t>06:04 AM</t>
  </si>
  <si>
    <t>TXN1241</t>
  </si>
  <si>
    <t>01:25 PM</t>
  </si>
  <si>
    <t>TXN1242</t>
  </si>
  <si>
    <t>01:36 AM</t>
  </si>
  <si>
    <t>TXN1243</t>
  </si>
  <si>
    <t>03:35 PM</t>
  </si>
  <si>
    <t>TXN1244</t>
  </si>
  <si>
    <t>06:20 PM</t>
  </si>
  <si>
    <t>TXN1245</t>
  </si>
  <si>
    <t>TXN1246</t>
  </si>
  <si>
    <t>TXN1247</t>
  </si>
  <si>
    <t>05:46 PM</t>
  </si>
  <si>
    <t>Kavya</t>
  </si>
  <si>
    <t>TXN1248</t>
  </si>
  <si>
    <t>08:46 AM</t>
  </si>
  <si>
    <t>TXN1249</t>
  </si>
  <si>
    <t>12:07 PM</t>
  </si>
  <si>
    <t>TXN1250</t>
  </si>
  <si>
    <t>TXN1251</t>
  </si>
  <si>
    <t>08:30 PM</t>
  </si>
  <si>
    <t>TXN1252</t>
  </si>
  <si>
    <t>01:16 AM</t>
  </si>
  <si>
    <t>Neelofar</t>
  </si>
  <si>
    <t>TXN1253</t>
  </si>
  <si>
    <t>26-03-2025</t>
  </si>
  <si>
    <t>01:41 PM</t>
  </si>
  <si>
    <t>TXN1254</t>
  </si>
  <si>
    <t>14-06-2025</t>
  </si>
  <si>
    <t>11:10 AM</t>
  </si>
  <si>
    <t>TXN1255</t>
  </si>
  <si>
    <t>07:52 AM</t>
  </si>
  <si>
    <t>Mohanlal</t>
  </si>
  <si>
    <t>TXN1256</t>
  </si>
  <si>
    <t>10:32 AM</t>
  </si>
  <si>
    <t>Vivaan</t>
  </si>
  <si>
    <t>TXN1257</t>
  </si>
  <si>
    <t>TXN1258</t>
  </si>
  <si>
    <t>03:52 PM</t>
  </si>
  <si>
    <t>TXN1259</t>
  </si>
  <si>
    <t>15-05-2025</t>
  </si>
  <si>
    <t>11:52 PM</t>
  </si>
  <si>
    <t>TXN1260</t>
  </si>
  <si>
    <t>TXN1261</t>
  </si>
  <si>
    <t>07:24 AM</t>
  </si>
  <si>
    <t>TXN1262</t>
  </si>
  <si>
    <t>09:41 PM</t>
  </si>
  <si>
    <t>TXN1263</t>
  </si>
  <si>
    <t>09:59 PM</t>
  </si>
  <si>
    <t>Vanya</t>
  </si>
  <si>
    <t>TXN1264</t>
  </si>
  <si>
    <t>12:37 AM</t>
  </si>
  <si>
    <t>TXN1265</t>
  </si>
  <si>
    <t>11-02-2025</t>
  </si>
  <si>
    <t>06:21 PM</t>
  </si>
  <si>
    <t>TXN1266</t>
  </si>
  <si>
    <t>07:14 AM</t>
  </si>
  <si>
    <t>Mahika</t>
  </si>
  <si>
    <t>TXN1267</t>
  </si>
  <si>
    <t>02-06-2025</t>
  </si>
  <si>
    <t>04:17 PM</t>
  </si>
  <si>
    <t>TXN1268</t>
  </si>
  <si>
    <t>11:42 AM</t>
  </si>
  <si>
    <t>Saanvi</t>
  </si>
  <si>
    <t>TXN1269</t>
  </si>
  <si>
    <t>08:09 AM</t>
  </si>
  <si>
    <t>TXN1270</t>
  </si>
  <si>
    <t>06:23 AM</t>
  </si>
  <si>
    <t>TXN1271</t>
  </si>
  <si>
    <t>10:01 PM</t>
  </si>
  <si>
    <t>Rania</t>
  </si>
  <si>
    <t>TXN1272</t>
  </si>
  <si>
    <t>06:26 PM</t>
  </si>
  <si>
    <t>Divit</t>
  </si>
  <si>
    <t>TXN1273</t>
  </si>
  <si>
    <t>06:17 PM</t>
  </si>
  <si>
    <t>TXN1274</t>
  </si>
  <si>
    <t>17-01-2025</t>
  </si>
  <si>
    <t>TXN1275</t>
  </si>
  <si>
    <t>10-06-2025</t>
  </si>
  <si>
    <t>12:08 PM</t>
  </si>
  <si>
    <t>Kiara</t>
  </si>
  <si>
    <t>TXN1276</t>
  </si>
  <si>
    <t>08-06-2025</t>
  </si>
  <si>
    <t>04:27 PM</t>
  </si>
  <si>
    <t>Kanav</t>
  </si>
  <si>
    <t>TXN1277</t>
  </si>
  <si>
    <t>27-06-2025</t>
  </si>
  <si>
    <t>11:18 AM</t>
  </si>
  <si>
    <t>TXN1278</t>
  </si>
  <si>
    <t>05:12 PM</t>
  </si>
  <si>
    <t>TXN1279</t>
  </si>
  <si>
    <t>TXN1280</t>
  </si>
  <si>
    <t>Bhamini</t>
  </si>
  <si>
    <t>TXN1281</t>
  </si>
  <si>
    <t>17-05-2025</t>
  </si>
  <si>
    <t>TXN1282</t>
  </si>
  <si>
    <t>TXN1283</t>
  </si>
  <si>
    <t>Suhana</t>
  </si>
  <si>
    <t>TXN1284</t>
  </si>
  <si>
    <t>05:06 PM</t>
  </si>
  <si>
    <t>TXN1285</t>
  </si>
  <si>
    <t>08:33 PM</t>
  </si>
  <si>
    <t>TXN1286</t>
  </si>
  <si>
    <t>04:02 PM</t>
  </si>
  <si>
    <t>Nehmat</t>
  </si>
  <si>
    <t>TXN1287</t>
  </si>
  <si>
    <t>TXN1288</t>
  </si>
  <si>
    <t>TXN1289</t>
  </si>
  <si>
    <t>07-06-2025</t>
  </si>
  <si>
    <t>07:45 PM</t>
  </si>
  <si>
    <t>Madhav</t>
  </si>
  <si>
    <t>TXN1290</t>
  </si>
  <si>
    <t>11:12 AM</t>
  </si>
  <si>
    <t>TXN1291</t>
  </si>
  <si>
    <t>04:39 PM</t>
  </si>
  <si>
    <t>Damini</t>
  </si>
  <si>
    <t>TXN1292</t>
  </si>
  <si>
    <t>03:05 PM</t>
  </si>
  <si>
    <t>TXN1293</t>
  </si>
  <si>
    <t>20-03-2025</t>
  </si>
  <si>
    <t>01:26 AM</t>
  </si>
  <si>
    <t>TXN1294</t>
  </si>
  <si>
    <t>11:31 AM</t>
  </si>
  <si>
    <t>Sumer</t>
  </si>
  <si>
    <t>TXN1295</t>
  </si>
  <si>
    <t>TXN1296</t>
  </si>
  <si>
    <t>09:53 PM</t>
  </si>
  <si>
    <t>Kimaya</t>
  </si>
  <si>
    <t>TXN1297</t>
  </si>
  <si>
    <t>25-05-2025</t>
  </si>
  <si>
    <t>02:17 AM</t>
  </si>
  <si>
    <t>TXN1298</t>
  </si>
  <si>
    <t>09:07 PM</t>
  </si>
  <si>
    <t>TXN1299</t>
  </si>
  <si>
    <t>07:28 AM</t>
  </si>
  <si>
    <t>TXN1300</t>
  </si>
  <si>
    <t>07:22 AM</t>
  </si>
  <si>
    <t>TXN1301</t>
  </si>
  <si>
    <t>05:39 PM</t>
  </si>
  <si>
    <t>TXN1302</t>
  </si>
  <si>
    <t>22-02-2025</t>
  </si>
  <si>
    <t>07:34 AM</t>
  </si>
  <si>
    <t>TXN1303</t>
  </si>
  <si>
    <t>10:08 PM</t>
  </si>
  <si>
    <t>TXN1304</t>
  </si>
  <si>
    <t>01:20 PM</t>
  </si>
  <si>
    <t>TXN1305</t>
  </si>
  <si>
    <t>TXN1306</t>
  </si>
  <si>
    <t>05:20 PM</t>
  </si>
  <si>
    <t>Mehul</t>
  </si>
  <si>
    <t>TXN1307</t>
  </si>
  <si>
    <t>08:25 AM</t>
  </si>
  <si>
    <t>Armaan</t>
  </si>
  <si>
    <t>TXN1308</t>
  </si>
  <si>
    <t>Mannat</t>
  </si>
  <si>
    <t>TXN1309</t>
  </si>
  <si>
    <t>24-06-2025</t>
  </si>
  <si>
    <t>09:01 AM</t>
  </si>
  <si>
    <t>Riya</t>
  </si>
  <si>
    <t>TXN1310</t>
  </si>
  <si>
    <t>12:56 PM</t>
  </si>
  <si>
    <t>Hunar</t>
  </si>
  <si>
    <t>TXN1311</t>
  </si>
  <si>
    <t>08:57 AM</t>
  </si>
  <si>
    <t>TXN1312</t>
  </si>
  <si>
    <t>01:05 PM</t>
  </si>
  <si>
    <t>TXN1313</t>
  </si>
  <si>
    <t>20-01-2025</t>
  </si>
  <si>
    <t>11:00 PM</t>
  </si>
  <si>
    <t>TXN1314</t>
  </si>
  <si>
    <t>08:05 AM</t>
  </si>
  <si>
    <t>TXN1315</t>
  </si>
  <si>
    <t>01:33 AM</t>
  </si>
  <si>
    <t>TXN1316</t>
  </si>
  <si>
    <t>07:28 PM</t>
  </si>
  <si>
    <t>TXN1317</t>
  </si>
  <si>
    <t>01-02-2025</t>
  </si>
  <si>
    <t>05:50 PM</t>
  </si>
  <si>
    <t>TXN1318</t>
  </si>
  <si>
    <t>TXN1319</t>
  </si>
  <si>
    <t>TXN1320</t>
  </si>
  <si>
    <t>08:23 AM</t>
  </si>
  <si>
    <t>TXN1321</t>
  </si>
  <si>
    <t>11:49 AM</t>
  </si>
  <si>
    <t>TXN1322</t>
  </si>
  <si>
    <t>TXN1323</t>
  </si>
  <si>
    <t>02:19 AM</t>
  </si>
  <si>
    <t>Hansh</t>
  </si>
  <si>
    <t>TXN1324</t>
  </si>
  <si>
    <t>08:27 AM</t>
  </si>
  <si>
    <t>TXN1325</t>
  </si>
  <si>
    <t>02:07 AM</t>
  </si>
  <si>
    <t>TXN1326</t>
  </si>
  <si>
    <t>10:16 PM</t>
  </si>
  <si>
    <t>TXN1327</t>
  </si>
  <si>
    <t>06:17 AM</t>
  </si>
  <si>
    <t>TXN1328</t>
  </si>
  <si>
    <t>11:03 PM</t>
  </si>
  <si>
    <t>Kabir</t>
  </si>
  <si>
    <t>TXN1329</t>
  </si>
  <si>
    <t>07-03-2025</t>
  </si>
  <si>
    <t>09:32 AM</t>
  </si>
  <si>
    <t>TXN1330</t>
  </si>
  <si>
    <t>03:11 AM</t>
  </si>
  <si>
    <t>TXN1331</t>
  </si>
  <si>
    <t>04:36 PM</t>
  </si>
  <si>
    <t>Divij</t>
  </si>
  <si>
    <t>TXN1332</t>
  </si>
  <si>
    <t>10:04 PM</t>
  </si>
  <si>
    <t>TXN1333</t>
  </si>
  <si>
    <t>Samiha</t>
  </si>
  <si>
    <t>TXN1334</t>
  </si>
  <si>
    <t>TXN1335</t>
  </si>
  <si>
    <t>06:48 AM</t>
  </si>
  <si>
    <t>Tarini</t>
  </si>
  <si>
    <t>TXN1336</t>
  </si>
  <si>
    <t>09:45 PM</t>
  </si>
  <si>
    <t>Saksham</t>
  </si>
  <si>
    <t>TXN1337</t>
  </si>
  <si>
    <t>05:05 PM</t>
  </si>
  <si>
    <t>Jayan</t>
  </si>
  <si>
    <t>TXN1338</t>
  </si>
  <si>
    <t>07:15 PM</t>
  </si>
  <si>
    <t>TXN1339</t>
  </si>
  <si>
    <t>11-04-2025</t>
  </si>
  <si>
    <t>TXN1340</t>
  </si>
  <si>
    <t>01:29 AM</t>
  </si>
  <si>
    <t>Ritvik</t>
  </si>
  <si>
    <t>TXN1341</t>
  </si>
  <si>
    <t>02-04-2025</t>
  </si>
  <si>
    <t>08:16 PM</t>
  </si>
  <si>
    <t>TXN1342</t>
  </si>
  <si>
    <t>07:09 AM</t>
  </si>
  <si>
    <t>TXN1343</t>
  </si>
  <si>
    <t>02:01 AM</t>
  </si>
  <si>
    <t>Kartik</t>
  </si>
  <si>
    <t>TXN1344</t>
  </si>
  <si>
    <t>21-05-2025</t>
  </si>
  <si>
    <t>09:07 AM</t>
  </si>
  <si>
    <t>TXN1345</t>
  </si>
  <si>
    <t>05:41 PM</t>
  </si>
  <si>
    <t>TXN1346</t>
  </si>
  <si>
    <t>06-01-2025</t>
  </si>
  <si>
    <t>08:05 PM</t>
  </si>
  <si>
    <t>TXN1347</t>
  </si>
  <si>
    <t>07:25 PM</t>
  </si>
  <si>
    <t>TXN1348</t>
  </si>
  <si>
    <t>11:28 AM</t>
  </si>
  <si>
    <t>Kiaan</t>
  </si>
  <si>
    <t>TXN1349</t>
  </si>
  <si>
    <t>09:30 PM</t>
  </si>
  <si>
    <t>TXN1350</t>
  </si>
  <si>
    <t>05-02-2025</t>
  </si>
  <si>
    <t>10:51 PM</t>
  </si>
  <si>
    <t>Jivin</t>
  </si>
  <si>
    <t>TXN1351</t>
  </si>
  <si>
    <t>09:32 PM</t>
  </si>
  <si>
    <t>TXN1352</t>
  </si>
  <si>
    <t>06:03 AM</t>
  </si>
  <si>
    <t>TXN1353</t>
  </si>
  <si>
    <t>01:17 PM</t>
  </si>
  <si>
    <t>TXN1354</t>
  </si>
  <si>
    <t>11:37 AM</t>
  </si>
  <si>
    <t>TXN1355</t>
  </si>
  <si>
    <t>10:53 AM</t>
  </si>
  <si>
    <t>TXN1356</t>
  </si>
  <si>
    <t>11:01 PM</t>
  </si>
  <si>
    <t>TXN1357</t>
  </si>
  <si>
    <t>21-02-2025</t>
  </si>
  <si>
    <t>11:03 AM</t>
  </si>
  <si>
    <t>TXN1358</t>
  </si>
  <si>
    <t>TXN1359</t>
  </si>
  <si>
    <t>11:50 AM</t>
  </si>
  <si>
    <t>TXN1360</t>
  </si>
  <si>
    <t>05:37 PM</t>
  </si>
  <si>
    <t>TXN1361</t>
  </si>
  <si>
    <t>06:25 AM</t>
  </si>
  <si>
    <t>TXN1362</t>
  </si>
  <si>
    <t>06-06-2025</t>
  </si>
  <si>
    <t>TXN1363</t>
  </si>
  <si>
    <t>04:16 PM</t>
  </si>
  <si>
    <t>Reyansh</t>
  </si>
  <si>
    <t>TXN1364</t>
  </si>
  <si>
    <t>06:28 AM</t>
  </si>
  <si>
    <t>TXN1365</t>
  </si>
  <si>
    <t>09:50 AM</t>
  </si>
  <si>
    <t>TXN1366</t>
  </si>
  <si>
    <t>TXN1367</t>
  </si>
  <si>
    <t>08:39 AM</t>
  </si>
  <si>
    <t>TXN1368</t>
  </si>
  <si>
    <t>11:21 AM</t>
  </si>
  <si>
    <t>TXN1369</t>
  </si>
  <si>
    <t>02:19 PM</t>
  </si>
  <si>
    <t>Farhan</t>
  </si>
  <si>
    <t>TXN1370</t>
  </si>
  <si>
    <t>10:00 AM</t>
  </si>
  <si>
    <t>Advik</t>
  </si>
  <si>
    <t>TXN1371</t>
  </si>
  <si>
    <t>09:10 AM</t>
  </si>
  <si>
    <t>Raghav</t>
  </si>
  <si>
    <t>TXN1372</t>
  </si>
  <si>
    <t>09:05 PM</t>
  </si>
  <si>
    <t>TXN1373</t>
  </si>
  <si>
    <t>02:16 PM</t>
  </si>
  <si>
    <t>TXN1374</t>
  </si>
  <si>
    <t>09:22 AM</t>
  </si>
  <si>
    <t>TXN1375</t>
  </si>
  <si>
    <t>TXN1376</t>
  </si>
  <si>
    <t>10:43 PM</t>
  </si>
  <si>
    <t>TXN1377</t>
  </si>
  <si>
    <t>TXN1378</t>
  </si>
  <si>
    <t>10:16 AM</t>
  </si>
  <si>
    <t>TXN1379</t>
  </si>
  <si>
    <t>23-05-2025</t>
  </si>
  <si>
    <t>02:58 PM</t>
  </si>
  <si>
    <t>TXN1380</t>
  </si>
  <si>
    <t>12:50 AM</t>
  </si>
  <si>
    <t>Aradhya</t>
  </si>
  <si>
    <t>TXN1381</t>
  </si>
  <si>
    <t>09:17 PM</t>
  </si>
  <si>
    <t>TXN1382</t>
  </si>
  <si>
    <t>06:15 PM</t>
  </si>
  <si>
    <t>TXN1383</t>
  </si>
  <si>
    <t>03:53 PM</t>
  </si>
  <si>
    <t>TXN1384</t>
  </si>
  <si>
    <t>08:17 PM</t>
  </si>
  <si>
    <t>TXN1385</t>
  </si>
  <si>
    <t>TXN1386</t>
  </si>
  <si>
    <t>06:56 PM</t>
  </si>
  <si>
    <t>TXN1387</t>
  </si>
  <si>
    <t>07:12 AM</t>
  </si>
  <si>
    <t>TXN1388</t>
  </si>
  <si>
    <t>06:31 AM</t>
  </si>
  <si>
    <t>Dhanush</t>
  </si>
  <si>
    <t>TXN1389</t>
  </si>
  <si>
    <t>11:47 AM</t>
  </si>
  <si>
    <t>Ehsaan</t>
  </si>
  <si>
    <t>TXN1390</t>
  </si>
  <si>
    <t>12:41 PM</t>
  </si>
  <si>
    <t>TXN1391</t>
  </si>
  <si>
    <t>15-04-2025</t>
  </si>
  <si>
    <t>06:41 AM</t>
  </si>
  <si>
    <t>Vardaniya</t>
  </si>
  <si>
    <t>TXN1392</t>
  </si>
  <si>
    <t>02:54 PM</t>
  </si>
  <si>
    <t>TXN1393</t>
  </si>
  <si>
    <t>06:00 PM</t>
  </si>
  <si>
    <t>TXN1394</t>
  </si>
  <si>
    <t>02:55 PM</t>
  </si>
  <si>
    <t>TXN1395</t>
  </si>
  <si>
    <t>10:57 PM</t>
  </si>
  <si>
    <t>TXN1396</t>
  </si>
  <si>
    <t>03:16 AM</t>
  </si>
  <si>
    <t>TXN1397</t>
  </si>
  <si>
    <t>12:45 PM</t>
  </si>
  <si>
    <t>Aaryahi</t>
  </si>
  <si>
    <t>TXN1398</t>
  </si>
  <si>
    <t>11:30 AM</t>
  </si>
  <si>
    <t>TXN1399</t>
  </si>
  <si>
    <t>04:14 PM</t>
  </si>
  <si>
    <t>TXN1400</t>
  </si>
  <si>
    <t>05:18 PM</t>
  </si>
  <si>
    <t>Faiyaz</t>
  </si>
  <si>
    <t>TXN1401</t>
  </si>
  <si>
    <t>08:32 AM</t>
  </si>
  <si>
    <t>TXN1402</t>
  </si>
  <si>
    <t>01:21 AM</t>
  </si>
  <si>
    <t>TXN1403</t>
  </si>
  <si>
    <t>04:20 PM</t>
  </si>
  <si>
    <t>TXN1404</t>
  </si>
  <si>
    <t>Ishaan</t>
  </si>
  <si>
    <t>TXN1405</t>
  </si>
  <si>
    <t>12:00 PM</t>
  </si>
  <si>
    <t>TXN1406</t>
  </si>
  <si>
    <t>01:19 PM</t>
  </si>
  <si>
    <t>TXN1407</t>
  </si>
  <si>
    <t>07:29 AM</t>
  </si>
  <si>
    <t>TXN1408</t>
  </si>
  <si>
    <t>05:10 PM</t>
  </si>
  <si>
    <t>TXN1409</t>
  </si>
  <si>
    <t>TXN1410</t>
  </si>
  <si>
    <t>Hrishita</t>
  </si>
  <si>
    <t>TXN1411</t>
  </si>
  <si>
    <t>02:09 PM</t>
  </si>
  <si>
    <t>TXN1412</t>
  </si>
  <si>
    <t>02:26 AM</t>
  </si>
  <si>
    <t>Tanya</t>
  </si>
  <si>
    <t>TXN1413</t>
  </si>
  <si>
    <t>12:53 PM</t>
  </si>
  <si>
    <t>TXN1414</t>
  </si>
  <si>
    <t>TXN1415</t>
  </si>
  <si>
    <t>09:42 AM</t>
  </si>
  <si>
    <t>TXN1416</t>
  </si>
  <si>
    <t>02:29 PM</t>
  </si>
  <si>
    <t>TXN1417</t>
  </si>
  <si>
    <t>07:23 AM</t>
  </si>
  <si>
    <t>TXN1418</t>
  </si>
  <si>
    <t>25-01-2025</t>
  </si>
  <si>
    <t>07:42 AM</t>
  </si>
  <si>
    <t>TXN1419</t>
  </si>
  <si>
    <t>08:11 AM</t>
  </si>
  <si>
    <t>TXN1420</t>
  </si>
  <si>
    <t>TXN1421</t>
  </si>
  <si>
    <t>11:58 AM</t>
  </si>
  <si>
    <t>TXN1422</t>
  </si>
  <si>
    <t>TXN1423</t>
  </si>
  <si>
    <t>02:00 PM</t>
  </si>
  <si>
    <t>TXN1424</t>
  </si>
  <si>
    <t>TXN1425</t>
  </si>
  <si>
    <t>07:59 AM</t>
  </si>
  <si>
    <t>TXN1426</t>
  </si>
  <si>
    <t>02:21 AM</t>
  </si>
  <si>
    <t>TXN1427</t>
  </si>
  <si>
    <t>01:28 PM</t>
  </si>
  <si>
    <t>TXN1428</t>
  </si>
  <si>
    <t>TXN1429</t>
  </si>
  <si>
    <t>03:13 PM</t>
  </si>
  <si>
    <t>TXN1430</t>
  </si>
  <si>
    <t>TXN1431</t>
  </si>
  <si>
    <t>02:44 AM</t>
  </si>
  <si>
    <t>TXN1432</t>
  </si>
  <si>
    <t>07:39 PM</t>
  </si>
  <si>
    <t>TXN1433</t>
  </si>
  <si>
    <t>12:06 PM</t>
  </si>
  <si>
    <t>TXN1434</t>
  </si>
  <si>
    <t>03:31 AM</t>
  </si>
  <si>
    <t>TXN1435</t>
  </si>
  <si>
    <t>11:11 AM</t>
  </si>
  <si>
    <t>TXN1436</t>
  </si>
  <si>
    <t>03-06-2025</t>
  </si>
  <si>
    <t>10:38 PM</t>
  </si>
  <si>
    <t>TXN1437</t>
  </si>
  <si>
    <t>10:44 AM</t>
  </si>
  <si>
    <t>TXN1438</t>
  </si>
  <si>
    <t>12:18 PM</t>
  </si>
  <si>
    <t>TXN1439</t>
  </si>
  <si>
    <t>04:48 PM</t>
  </si>
  <si>
    <t>TXN1440</t>
  </si>
  <si>
    <t>03:51 PM</t>
  </si>
  <si>
    <t>TXN1441</t>
  </si>
  <si>
    <t>TXN1442</t>
  </si>
  <si>
    <t>03:02 PM</t>
  </si>
  <si>
    <t>TXN1443</t>
  </si>
  <si>
    <t>01:35 PM</t>
  </si>
  <si>
    <t>TXN1444</t>
  </si>
  <si>
    <t>06:50 PM</t>
  </si>
  <si>
    <t>TXN1445</t>
  </si>
  <si>
    <t>06-03-2025</t>
  </si>
  <si>
    <t>08:58 PM</t>
  </si>
  <si>
    <t>TXN1446</t>
  </si>
  <si>
    <t>08:47 AM</t>
  </si>
  <si>
    <t>TXN1447</t>
  </si>
  <si>
    <t>TXN1448</t>
  </si>
  <si>
    <t>07:39 AM</t>
  </si>
  <si>
    <t>TXN1449</t>
  </si>
  <si>
    <t>04:11 PM</t>
  </si>
  <si>
    <t>TXN1450</t>
  </si>
  <si>
    <t>01:21 PM</t>
  </si>
  <si>
    <t>TXN1451</t>
  </si>
  <si>
    <t>06:22 AM</t>
  </si>
  <si>
    <t>TXN1452</t>
  </si>
  <si>
    <t>TXN1453</t>
  </si>
  <si>
    <t>06-04-2025</t>
  </si>
  <si>
    <t>08:18 PM</t>
  </si>
  <si>
    <t>TXN1454</t>
  </si>
  <si>
    <t>06:13 AM</t>
  </si>
  <si>
    <t>TXN1455</t>
  </si>
  <si>
    <t>TXN1456</t>
  </si>
  <si>
    <t>TXN1457</t>
  </si>
  <si>
    <t>06:01 PM</t>
  </si>
  <si>
    <t>Anaya</t>
  </si>
  <si>
    <t>TXN1458</t>
  </si>
  <si>
    <t>TXN1459</t>
  </si>
  <si>
    <t>TXN1460</t>
  </si>
  <si>
    <t>11:40 PM</t>
  </si>
  <si>
    <t>TXN1461</t>
  </si>
  <si>
    <t>TXN1462</t>
  </si>
  <si>
    <t>10:11 PM</t>
  </si>
  <si>
    <t>TXN1463</t>
  </si>
  <si>
    <t>TXN1464</t>
  </si>
  <si>
    <t>02:08 AM</t>
  </si>
  <si>
    <t>TXN1465</t>
  </si>
  <si>
    <t>09:39 PM</t>
  </si>
  <si>
    <t>TXN1466</t>
  </si>
  <si>
    <t>11:15 AM</t>
  </si>
  <si>
    <t>TXN1467</t>
  </si>
  <si>
    <t>09:22 PM</t>
  </si>
  <si>
    <t>TXN1468</t>
  </si>
  <si>
    <t>02:57 PM</t>
  </si>
  <si>
    <t>TXN1469</t>
  </si>
  <si>
    <t>06:40 AM</t>
  </si>
  <si>
    <t>TXN1470</t>
  </si>
  <si>
    <t>02:30 PM</t>
  </si>
  <si>
    <t>TXN1471</t>
  </si>
  <si>
    <t>TXN1472</t>
  </si>
  <si>
    <t>TXN1473</t>
  </si>
  <si>
    <t>09:14 PM</t>
  </si>
  <si>
    <t>TXN1474</t>
  </si>
  <si>
    <t>TXN1475</t>
  </si>
  <si>
    <t>TXN1476</t>
  </si>
  <si>
    <t>TXN1477</t>
  </si>
  <si>
    <t>TXN1478</t>
  </si>
  <si>
    <t>11:38 AM</t>
  </si>
  <si>
    <t>TXN1479</t>
  </si>
  <si>
    <t>09:10 PM</t>
  </si>
  <si>
    <t>Chirag</t>
  </si>
  <si>
    <t>TXN1480</t>
  </si>
  <si>
    <t>10:02 AM</t>
  </si>
  <si>
    <t>Kismat</t>
  </si>
  <si>
    <t>TXN1481</t>
  </si>
  <si>
    <t>06:42 AM</t>
  </si>
  <si>
    <t>TXN1482</t>
  </si>
  <si>
    <t>TXN1483</t>
  </si>
  <si>
    <t>02:43 PM</t>
  </si>
  <si>
    <t>TXN1484</t>
  </si>
  <si>
    <t>10:12 AM</t>
  </si>
  <si>
    <t>TXN1485</t>
  </si>
  <si>
    <t>TXN1486</t>
  </si>
  <si>
    <t>Arhaan</t>
  </si>
  <si>
    <t>TXN1487</t>
  </si>
  <si>
    <t>TXN1488</t>
  </si>
  <si>
    <t>08:56 AM</t>
  </si>
  <si>
    <t>TXN1489</t>
  </si>
  <si>
    <t>10:41 PM</t>
  </si>
  <si>
    <t>TXN1490</t>
  </si>
  <si>
    <t>02:27 PM</t>
  </si>
  <si>
    <t>TXN1491</t>
  </si>
  <si>
    <t>09:35 PM</t>
  </si>
  <si>
    <t>TXN1492</t>
  </si>
  <si>
    <t>TXN1493</t>
  </si>
  <si>
    <t>03:51 AM</t>
  </si>
  <si>
    <t>TXN1494</t>
  </si>
  <si>
    <t>10:27 AM</t>
  </si>
  <si>
    <t>TXN1495</t>
  </si>
  <si>
    <t>03:39 AM</t>
  </si>
  <si>
    <t>TXN1496</t>
  </si>
  <si>
    <t>12:59 PM</t>
  </si>
  <si>
    <t>TXN1497</t>
  </si>
  <si>
    <t>11:23 AM</t>
  </si>
  <si>
    <t>TXN1498</t>
  </si>
  <si>
    <t>12-03-2025</t>
  </si>
  <si>
    <t>06:12 PM</t>
  </si>
  <si>
    <t>TXN1499</t>
  </si>
  <si>
    <t>TXN1500</t>
  </si>
  <si>
    <t>Jivika</t>
  </si>
  <si>
    <t>Hour</t>
  </si>
  <si>
    <t>Risk_Level</t>
  </si>
  <si>
    <t>Fraud_Score</t>
  </si>
  <si>
    <t>Grand Total</t>
  </si>
  <si>
    <t>Count of Fraud_Flag</t>
  </si>
  <si>
    <t>Count of Transaction_ID</t>
  </si>
  <si>
    <t>UPI FRAUD DETECTION AND RISK ANALYSIS DASHBOARD</t>
  </si>
  <si>
    <t>TOTAL TRANSACTIONS 
500</t>
  </si>
  <si>
    <t xml:space="preserve">TOTAL FRAUD CASES
56
</t>
  </si>
  <si>
    <r>
      <rPr>
        <b/>
        <sz val="18"/>
        <color theme="0"/>
        <rFont val="Calibri"/>
        <family val="2"/>
        <scheme val="minor"/>
      </rPr>
      <t>HIGH RISK HOURS
1 AM - 4 AM</t>
    </r>
    <r>
      <rPr>
        <sz val="18"/>
        <color theme="0"/>
        <rFont val="Calibri"/>
        <family val="2"/>
        <scheme val="minor"/>
      </rPr>
      <t xml:space="preserve">
</t>
    </r>
  </si>
  <si>
    <t>FRAUD PERCENTAGE
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</si>
</sst>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theme="1"/>
      <name val="Calibri"/>
      <family val="2"/>
      <scheme val="minor"/>
    </font>
    <font>
      <b/>
      <sz val="24"/>
      <color theme="0"/>
      <name val="Calibri"/>
      <family val="2"/>
      <scheme val="minor"/>
    </font>
    <font>
      <sz val="14"/>
      <color theme="0"/>
      <name val="Calibri"/>
      <family val="2"/>
      <scheme val="minor"/>
    </font>
    <font>
      <sz val="18"/>
      <color theme="0"/>
      <name val="Calibri"/>
      <family val="2"/>
      <scheme val="minor"/>
    </font>
    <font>
      <b/>
      <sz val="18"/>
      <color theme="0"/>
      <name val="Calibri"/>
      <family val="2"/>
      <scheme val="minor"/>
    </font>
    <font>
      <sz val="8"/>
      <name val="Calibri"/>
      <family val="2"/>
      <scheme val="minor"/>
    </font>
  </fonts>
  <fills count="6">
    <fill>
      <patternFill patternType="none"/>
    </fill>
    <fill>
      <patternFill patternType="gray125"/>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1" fillId="0" borderId="0" xfId="0" applyFont="1"/>
    <xf numFmtId="0" fontId="2" fillId="2" borderId="0" xfId="0" applyFont="1" applyFill="1" applyAlignment="1">
      <alignment horizontal="center"/>
    </xf>
    <xf numFmtId="0" fontId="3" fillId="2" borderId="0" xfId="0" applyFont="1" applyFill="1" applyAlignment="1">
      <alignment horizontal="center"/>
    </xf>
    <xf numFmtId="0" fontId="5" fillId="2" borderId="0" xfId="0" applyFont="1" applyFill="1" applyAlignment="1">
      <alignment horizontal="center" vertical="top" wrapText="1"/>
    </xf>
    <xf numFmtId="0" fontId="4" fillId="2" borderId="0" xfId="0" applyFont="1" applyFill="1" applyAlignment="1">
      <alignment horizontal="center" vertical="top"/>
    </xf>
    <xf numFmtId="0" fontId="5" fillId="3" borderId="0" xfId="0" applyFont="1" applyFill="1" applyAlignment="1">
      <alignment horizontal="center" vertical="top" wrapText="1"/>
    </xf>
    <xf numFmtId="0" fontId="0" fillId="3" borderId="0" xfId="0" applyFill="1" applyAlignment="1">
      <alignment horizontal="center" vertical="top" wrapText="1"/>
    </xf>
    <xf numFmtId="0" fontId="5" fillId="4" borderId="0" xfId="0" applyFont="1" applyFill="1" applyAlignment="1">
      <alignment horizontal="center" vertical="top" wrapText="1"/>
    </xf>
    <xf numFmtId="0" fontId="0" fillId="4" borderId="0" xfId="0" applyFill="1" applyAlignment="1">
      <alignment horizontal="center" vertical="top" wrapText="1"/>
    </xf>
    <xf numFmtId="0" fontId="4" fillId="5" borderId="0" xfId="0" applyFont="1" applyFill="1" applyAlignment="1">
      <alignment horizontal="center" vertical="top" wrapText="1"/>
    </xf>
    <xf numFmtId="0" fontId="0" fillId="5" borderId="0" xfId="0" applyFill="1" applyAlignment="1">
      <alignment horizontal="center" vertical="top"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[UPI.xlsx]Pivot Tables!PivotTable2</c:name>
    <c:fmtId val="2"/>
  </c:pivotSource>
  <c:chart>
    <c:title>
      <c:tx>
        <c:rich>
          <a:bodyPr/>
          <a:lstStyle/>
          <a:p>
            <a:pPr>
              <a:defRPr/>
            </a:pPr>
            <a:r>
              <a:rPr lang="en-US"/>
              <a:t>Fraud</a:t>
            </a:r>
            <a:r>
              <a:rPr lang="en-US" baseline="0"/>
              <a:t> VS Non Fraud Transactions</a:t>
            </a:r>
            <a:endParaRPr lang="en-US"/>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 Tables'!$B$1</c:f>
              <c:strCache>
                <c:ptCount val="1"/>
                <c:pt idx="0">
                  <c:v>Total</c:v>
                </c:pt>
              </c:strCache>
            </c:strRef>
          </c:tx>
          <c:cat>
            <c:strRef>
              <c:f>'Pivot Tables'!$A$2:$A$4</c:f>
              <c:strCache>
                <c:ptCount val="2"/>
                <c:pt idx="0">
                  <c:v>No</c:v>
                </c:pt>
                <c:pt idx="1">
                  <c:v>Yes</c:v>
                </c:pt>
              </c:strCache>
            </c:strRef>
          </c:cat>
          <c:val>
            <c:numRef>
              <c:f>'Pivot Tables'!$B$2:$B$4</c:f>
              <c:numCache>
                <c:formatCode>General</c:formatCode>
                <c:ptCount val="2"/>
                <c:pt idx="0">
                  <c:v>444</c:v>
                </c:pt>
                <c:pt idx="1">
                  <c:v>56</c:v>
                </c:pt>
              </c:numCache>
            </c:numRef>
          </c:val>
          <c:extLst>
            <c:ext xmlns:c16="http://schemas.microsoft.com/office/drawing/2014/chart" uri="{C3380CC4-5D6E-409C-BE32-E72D297353CC}">
              <c16:uniqueId val="{00000000-22FF-4D8B-B91A-7F5A099D45A9}"/>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[UPI.xlsx]Pivot Tables!PivotTable3</c:name>
    <c:fmtId val="2"/>
  </c:pivotSource>
  <c:chart>
    <c:title>
      <c:tx>
        <c:rich>
          <a:bodyPr/>
          <a:lstStyle/>
          <a:p>
            <a:pPr>
              <a:defRPr/>
            </a:pPr>
            <a:r>
              <a:rPr lang="en-US"/>
              <a:t>Fraud</a:t>
            </a:r>
            <a:r>
              <a:rPr lang="en-US" baseline="0"/>
              <a:t> Transactions By Bank</a:t>
            </a:r>
            <a:endParaRPr lang="en-US"/>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invertIfNegative val="0"/>
          <c:cat>
            <c:strRef>
              <c:f>'Pivot Tables'!$D$4:$D$11</c:f>
              <c:strCache>
                <c:ptCount val="7"/>
                <c:pt idx="0">
                  <c:v>Axis</c:v>
                </c:pt>
                <c:pt idx="1">
                  <c:v>Canara Bank</c:v>
                </c:pt>
                <c:pt idx="2">
                  <c:v>HDFC</c:v>
                </c:pt>
                <c:pt idx="3">
                  <c:v>ICICI</c:v>
                </c:pt>
                <c:pt idx="4">
                  <c:v>Kotak</c:v>
                </c:pt>
                <c:pt idx="5">
                  <c:v>Punjab National Bank</c:v>
                </c:pt>
                <c:pt idx="6">
                  <c:v>SBI</c:v>
                </c:pt>
              </c:strCache>
            </c:strRef>
          </c:cat>
          <c:val>
            <c:numRef>
              <c:f>'Pivot Tables'!$E$4:$E$11</c:f>
              <c:numCache>
                <c:formatCode>General</c:formatCode>
                <c:ptCount val="7"/>
                <c:pt idx="0">
                  <c:v>14</c:v>
                </c:pt>
                <c:pt idx="1">
                  <c:v>4</c:v>
                </c:pt>
                <c:pt idx="2">
                  <c:v>10</c:v>
                </c:pt>
                <c:pt idx="3">
                  <c:v>10</c:v>
                </c:pt>
                <c:pt idx="4">
                  <c:v>8</c:v>
                </c:pt>
                <c:pt idx="5">
                  <c:v>8</c:v>
                </c:pt>
                <c:pt idx="6">
                  <c:v>2</c:v>
                </c:pt>
              </c:numCache>
            </c:numRef>
          </c:val>
          <c:extLst>
            <c:ext xmlns:c16="http://schemas.microsoft.com/office/drawing/2014/chart" uri="{C3380CC4-5D6E-409C-BE32-E72D297353CC}">
              <c16:uniqueId val="{00000000-AF9C-4E99-8966-F1978AAF1697}"/>
            </c:ext>
          </c:extLst>
        </c:ser>
        <c:dLbls>
          <c:showLegendKey val="0"/>
          <c:showVal val="0"/>
          <c:showCatName val="0"/>
          <c:showSerName val="0"/>
          <c:showPercent val="0"/>
          <c:showBubbleSize val="0"/>
        </c:dLbls>
        <c:gapWidth val="150"/>
        <c:axId val="118301056"/>
        <c:axId val="118302592"/>
      </c:barChart>
      <c:catAx>
        <c:axId val="118301056"/>
        <c:scaling>
          <c:orientation val="minMax"/>
        </c:scaling>
        <c:delete val="0"/>
        <c:axPos val="l"/>
        <c:numFmt formatCode="General" sourceLinked="0"/>
        <c:majorTickMark val="out"/>
        <c:minorTickMark val="none"/>
        <c:tickLblPos val="nextTo"/>
        <c:crossAx val="118302592"/>
        <c:crosses val="autoZero"/>
        <c:auto val="1"/>
        <c:lblAlgn val="ctr"/>
        <c:lblOffset val="100"/>
        <c:noMultiLvlLbl val="0"/>
      </c:catAx>
      <c:valAx>
        <c:axId val="118302592"/>
        <c:scaling>
          <c:orientation val="minMax"/>
        </c:scaling>
        <c:delete val="0"/>
        <c:axPos val="b"/>
        <c:majorGridlines/>
        <c:numFmt formatCode="General" sourceLinked="1"/>
        <c:majorTickMark val="out"/>
        <c:minorTickMark val="none"/>
        <c:tickLblPos val="nextTo"/>
        <c:crossAx val="118301056"/>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[UPI.xlsx]Pivot Tables!PivotTable4</c:name>
    <c:fmtId val="4"/>
  </c:pivotSource>
  <c:chart>
    <c:title>
      <c:tx>
        <c:rich>
          <a:bodyPr/>
          <a:lstStyle/>
          <a:p>
            <a:pPr>
              <a:defRPr/>
            </a:pPr>
            <a:r>
              <a:rPr lang="en-US"/>
              <a:t>Fraud</a:t>
            </a:r>
            <a:r>
              <a:rPr lang="en-US" baseline="0"/>
              <a:t> Transactions By Location</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invertIfNegative val="0"/>
          <c:cat>
            <c:strRef>
              <c:f>'Pivot Tables'!$G$4:$G$12</c:f>
              <c:strCache>
                <c:ptCount val="8"/>
                <c:pt idx="0">
                  <c:v>Bangalore</c:v>
                </c:pt>
                <c:pt idx="1">
                  <c:v>Chennai</c:v>
                </c:pt>
                <c:pt idx="2">
                  <c:v>Delhi</c:v>
                </c:pt>
                <c:pt idx="3">
                  <c:v>Hyderabad</c:v>
                </c:pt>
                <c:pt idx="4">
                  <c:v>Kolkata</c:v>
                </c:pt>
                <c:pt idx="5">
                  <c:v>Mumbai</c:v>
                </c:pt>
                <c:pt idx="6">
                  <c:v>Pune</c:v>
                </c:pt>
                <c:pt idx="7">
                  <c:v>Visakhapatnam</c:v>
                </c:pt>
              </c:strCache>
            </c:strRef>
          </c:cat>
          <c:val>
            <c:numRef>
              <c:f>'Pivot Tables'!$H$4:$H$12</c:f>
              <c:numCache>
                <c:formatCode>General</c:formatCode>
                <c:ptCount val="8"/>
                <c:pt idx="0">
                  <c:v>10</c:v>
                </c:pt>
                <c:pt idx="1">
                  <c:v>7</c:v>
                </c:pt>
                <c:pt idx="2">
                  <c:v>6</c:v>
                </c:pt>
                <c:pt idx="3">
                  <c:v>11</c:v>
                </c:pt>
                <c:pt idx="4">
                  <c:v>5</c:v>
                </c:pt>
                <c:pt idx="5">
                  <c:v>6</c:v>
                </c:pt>
                <c:pt idx="6">
                  <c:v>7</c:v>
                </c:pt>
                <c:pt idx="7">
                  <c:v>4</c:v>
                </c:pt>
              </c:numCache>
            </c:numRef>
          </c:val>
          <c:extLst>
            <c:ext xmlns:c16="http://schemas.microsoft.com/office/drawing/2014/chart" uri="{C3380CC4-5D6E-409C-BE32-E72D297353CC}">
              <c16:uniqueId val="{00000000-957C-45EC-A5F1-489E9DF00D20}"/>
            </c:ext>
          </c:extLst>
        </c:ser>
        <c:dLbls>
          <c:showLegendKey val="0"/>
          <c:showVal val="0"/>
          <c:showCatName val="0"/>
          <c:showSerName val="0"/>
          <c:showPercent val="0"/>
          <c:showBubbleSize val="0"/>
        </c:dLbls>
        <c:gapWidth val="150"/>
        <c:axId val="74969472"/>
        <c:axId val="74971008"/>
      </c:barChart>
      <c:catAx>
        <c:axId val="74969472"/>
        <c:scaling>
          <c:orientation val="minMax"/>
        </c:scaling>
        <c:delete val="0"/>
        <c:axPos val="b"/>
        <c:numFmt formatCode="General" sourceLinked="0"/>
        <c:majorTickMark val="out"/>
        <c:minorTickMark val="none"/>
        <c:tickLblPos val="nextTo"/>
        <c:crossAx val="74971008"/>
        <c:crosses val="autoZero"/>
        <c:auto val="1"/>
        <c:lblAlgn val="ctr"/>
        <c:lblOffset val="100"/>
        <c:noMultiLvlLbl val="0"/>
      </c:catAx>
      <c:valAx>
        <c:axId val="74971008"/>
        <c:scaling>
          <c:orientation val="minMax"/>
        </c:scaling>
        <c:delete val="0"/>
        <c:axPos val="l"/>
        <c:majorGridlines/>
        <c:numFmt formatCode="General" sourceLinked="1"/>
        <c:majorTickMark val="out"/>
        <c:minorTickMark val="none"/>
        <c:tickLblPos val="nextTo"/>
        <c:crossAx val="74969472"/>
        <c:crosses val="autoZero"/>
        <c:crossBetween val="between"/>
      </c:valAx>
    </c:plotArea>
    <c:legend>
      <c:legendPos val="r"/>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[UPI.xlsx]Pivot Tables!PivotTable5</c:name>
    <c:fmtId val="2"/>
  </c:pivotSource>
  <c:chart>
    <c:title>
      <c:tx>
        <c:rich>
          <a:bodyPr/>
          <a:lstStyle/>
          <a:p>
            <a:pPr>
              <a:defRPr/>
            </a:pPr>
            <a:r>
              <a:rPr lang="en-US"/>
              <a:t>Fraud</a:t>
            </a:r>
            <a:r>
              <a:rPr lang="en-US" baseline="0"/>
              <a:t> Activity By Hour</a:t>
            </a:r>
            <a:endParaRPr lang="en-US"/>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marker>
            <c:symbol val="none"/>
          </c:marker>
          <c:cat>
            <c:strRef>
              <c:f>'Pivot Tables'!$J$4:$J$9</c:f>
              <c:strCache>
                <c:ptCount val="5"/>
                <c:pt idx="0">
                  <c:v>0</c:v>
                </c:pt>
                <c:pt idx="1">
                  <c:v>1</c:v>
                </c:pt>
                <c:pt idx="2">
                  <c:v>2</c:v>
                </c:pt>
                <c:pt idx="3">
                  <c:v>3</c:v>
                </c:pt>
                <c:pt idx="4">
                  <c:v>23</c:v>
                </c:pt>
              </c:strCache>
            </c:strRef>
          </c:cat>
          <c:val>
            <c:numRef>
              <c:f>'Pivot Tables'!$K$4:$K$9</c:f>
              <c:numCache>
                <c:formatCode>General</c:formatCode>
                <c:ptCount val="5"/>
                <c:pt idx="0">
                  <c:v>12</c:v>
                </c:pt>
                <c:pt idx="1">
                  <c:v>16</c:v>
                </c:pt>
                <c:pt idx="2">
                  <c:v>11</c:v>
                </c:pt>
                <c:pt idx="3">
                  <c:v>7</c:v>
                </c:pt>
                <c:pt idx="4">
                  <c:v>10</c:v>
                </c:pt>
              </c:numCache>
            </c:numRef>
          </c:val>
          <c:smooth val="0"/>
          <c:extLst>
            <c:ext xmlns:c16="http://schemas.microsoft.com/office/drawing/2014/chart" uri="{C3380CC4-5D6E-409C-BE32-E72D297353CC}">
              <c16:uniqueId val="{00000000-F251-4BD5-A935-B5F9C25ADF1F}"/>
            </c:ext>
          </c:extLst>
        </c:ser>
        <c:dLbls>
          <c:showLegendKey val="0"/>
          <c:showVal val="0"/>
          <c:showCatName val="0"/>
          <c:showSerName val="0"/>
          <c:showPercent val="0"/>
          <c:showBubbleSize val="0"/>
        </c:dLbls>
        <c:smooth val="0"/>
        <c:axId val="74882432"/>
        <c:axId val="74889088"/>
      </c:lineChart>
      <c:catAx>
        <c:axId val="74882432"/>
        <c:scaling>
          <c:orientation val="minMax"/>
        </c:scaling>
        <c:delete val="0"/>
        <c:axPos val="b"/>
        <c:numFmt formatCode="General" sourceLinked="0"/>
        <c:majorTickMark val="out"/>
        <c:minorTickMark val="none"/>
        <c:tickLblPos val="nextTo"/>
        <c:crossAx val="74889088"/>
        <c:crosses val="autoZero"/>
        <c:auto val="1"/>
        <c:lblAlgn val="ctr"/>
        <c:lblOffset val="100"/>
        <c:noMultiLvlLbl val="0"/>
      </c:catAx>
      <c:valAx>
        <c:axId val="74889088"/>
        <c:scaling>
          <c:orientation val="minMax"/>
        </c:scaling>
        <c:delete val="0"/>
        <c:axPos val="l"/>
        <c:majorGridlines/>
        <c:numFmt formatCode="General" sourceLinked="1"/>
        <c:majorTickMark val="out"/>
        <c:minorTickMark val="none"/>
        <c:tickLblPos val="nextTo"/>
        <c:crossAx val="74882432"/>
        <c:crosses val="autoZero"/>
        <c:crossBetween val="between"/>
      </c:valAx>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101600</xdr:rowOff>
    </xdr:from>
    <xdr:to>
      <xdr:col>7</xdr:col>
      <xdr:colOff>0</xdr:colOff>
      <xdr:row>39</xdr:row>
      <xdr:rowOff>127000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773907</xdr:colOff>
      <xdr:row>22</xdr:row>
      <xdr:rowOff>139700</xdr:rowOff>
    </xdr:from>
    <xdr:to>
      <xdr:col>14</xdr:col>
      <xdr:colOff>750094</xdr:colOff>
      <xdr:row>39</xdr:row>
      <xdr:rowOff>95250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88900</xdr:rowOff>
    </xdr:from>
    <xdr:to>
      <xdr:col>6</xdr:col>
      <xdr:colOff>964406</xdr:colOff>
      <xdr:row>72</xdr:row>
      <xdr:rowOff>57150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892968</xdr:colOff>
      <xdr:row>41</xdr:row>
      <xdr:rowOff>101600</xdr:rowOff>
    </xdr:from>
    <xdr:to>
      <xdr:col>14</xdr:col>
      <xdr:colOff>952500</xdr:colOff>
      <xdr:row>72</xdr:row>
      <xdr:rowOff>38100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73</xdr:row>
      <xdr:rowOff>133350</xdr:rowOff>
    </xdr:from>
    <xdr:to>
      <xdr:col>14</xdr:col>
      <xdr:colOff>952500</xdr:colOff>
      <xdr:row>94</xdr:row>
      <xdr:rowOff>19050</xdr:rowOff>
    </xdr:to>
    <xdr:sp macro="" textlink="">
      <xdr:nvSpPr>
        <xdr:cNvPr id="4" name="Rectangle 3">
          <a:extLst>
            <a:ext uri="{FF2B5EF4-FFF2-40B4-BE49-F238E27FC236}">
              <a16:creationId xmlns:a16="http://schemas.microsoft.com/office/drawing/2014/main" id="{76D9BE43-D2EF-4DBC-9B84-54C7F11265D7}"/>
            </a:ext>
          </a:extLst>
        </xdr:cNvPr>
        <xdr:cNvSpPr/>
      </xdr:nvSpPr>
      <xdr:spPr>
        <a:xfrm>
          <a:off x="0" y="16173450"/>
          <a:ext cx="15087600" cy="46863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3600" baseline="0"/>
            <a:t>                                                        </a:t>
          </a:r>
          <a:r>
            <a:rPr lang="en-IN" sz="3600" b="1" baseline="0"/>
            <a:t>KEY INSIGHTS</a:t>
          </a:r>
        </a:p>
        <a:p>
          <a:pPr algn="l"/>
          <a:r>
            <a:rPr lang="en-IN" sz="2400" b="0"/>
            <a:t>• Fraud Rate: 11.2% of total transactions</a:t>
          </a:r>
        </a:p>
        <a:p>
          <a:pPr algn="l"/>
          <a:endParaRPr lang="en-IN" sz="2400" b="0"/>
        </a:p>
        <a:p>
          <a:pPr algn="l"/>
          <a:r>
            <a:rPr lang="en-IN" sz="2400" b="0"/>
            <a:t>• Highest Fraud Bank: Axis Bank</a:t>
          </a:r>
        </a:p>
        <a:p>
          <a:pPr algn="l"/>
          <a:endParaRPr lang="en-IN" sz="2400" b="0"/>
        </a:p>
        <a:p>
          <a:pPr algn="l"/>
          <a:r>
            <a:rPr lang="en-IN" sz="2400" b="0"/>
            <a:t>• Peak Fraud Time: 1 AM – 4 AM</a:t>
          </a:r>
        </a:p>
        <a:p>
          <a:pPr algn="l"/>
          <a:endParaRPr lang="en-IN" sz="2400" b="0"/>
        </a:p>
        <a:p>
          <a:pPr algn="l"/>
          <a:r>
            <a:rPr lang="en-IN" sz="2400" b="0"/>
            <a:t>• High Risk Location: Hyderabad</a:t>
          </a:r>
        </a:p>
        <a:p>
          <a:pPr algn="l"/>
          <a:endParaRPr lang="en-IN" sz="2400" b="0"/>
        </a:p>
        <a:p>
          <a:pPr algn="l"/>
          <a:r>
            <a:rPr lang="en-IN" sz="2400" b="0"/>
            <a:t>• Observation: Fraud increases during late-night hours</a:t>
          </a:r>
        </a:p>
      </xdr:txBody>
    </xdr:sp>
    <xdr:clientData/>
  </xdr:twoCellAnchor>
  <xdr:twoCellAnchor editAs="oneCell">
    <xdr:from>
      <xdr:col>0</xdr:col>
      <xdr:colOff>0</xdr:colOff>
      <xdr:row>8</xdr:row>
      <xdr:rowOff>57150</xdr:rowOff>
    </xdr:from>
    <xdr:to>
      <xdr:col>3</xdr:col>
      <xdr:colOff>19050</xdr:colOff>
      <xdr:row>21</xdr:row>
      <xdr:rowOff>76200</xdr:rowOff>
    </xdr:to>
    <mc:AlternateContent xmlns:mc="http://schemas.openxmlformats.org/markup-compatibility/2006" xmlns:a14="http://schemas.microsoft.com/office/drawing/2010/main">
      <mc:Choice Requires="a14">
        <xdr:graphicFrame macro="">
          <xdr:nvGraphicFramePr>
            <xdr:cNvPr id="14" name="Bank_Name">
              <a:extLst>
                <a:ext uri="{FF2B5EF4-FFF2-40B4-BE49-F238E27FC236}">
                  <a16:creationId xmlns:a16="http://schemas.microsoft.com/office/drawing/2014/main" id="{C0D98BDC-CFF9-4352-B96A-D32192F5E5E9}"/>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mlns="">
        <xdr:sp macro="" textlink="">
          <xdr:nvSpPr>
            <xdr:cNvPr id="0" name=""/>
            <xdr:cNvSpPr>
              <a:spLocks noTextEdit="1"/>
            </xdr:cNvSpPr>
          </xdr:nvSpPr>
          <xdr:spPr>
            <a:xfrm>
              <a:off x="0" y="2228850"/>
              <a:ext cx="2990850" cy="299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8</xdr:row>
      <xdr:rowOff>25400</xdr:rowOff>
    </xdr:from>
    <xdr:to>
      <xdr:col>7</xdr:col>
      <xdr:colOff>38100</xdr:colOff>
      <xdr:row>21</xdr:row>
      <xdr:rowOff>13335</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28E81086-C73C-48E9-AFDE-0AA4C128680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962400" y="2197100"/>
              <a:ext cx="3009900" cy="2959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xdr:row>
      <xdr:rowOff>63500</xdr:rowOff>
    </xdr:from>
    <xdr:to>
      <xdr:col>11</xdr:col>
      <xdr:colOff>114300</xdr:colOff>
      <xdr:row>20</xdr:row>
      <xdr:rowOff>203200</xdr:rowOff>
    </xdr:to>
    <mc:AlternateContent xmlns:mc="http://schemas.openxmlformats.org/markup-compatibility/2006" xmlns:a14="http://schemas.microsoft.com/office/drawing/2010/main">
      <mc:Choice Requires="a14">
        <xdr:graphicFrame macro="">
          <xdr:nvGraphicFramePr>
            <xdr:cNvPr id="16" name="Hour">
              <a:extLst>
                <a:ext uri="{FF2B5EF4-FFF2-40B4-BE49-F238E27FC236}">
                  <a16:creationId xmlns:a16="http://schemas.microsoft.com/office/drawing/2014/main" id="{A0BF9560-15E0-4B86-A2BC-E6A4D4156D96}"/>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7924800" y="2235200"/>
              <a:ext cx="3086100" cy="288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asanna reddy" refreshedDate="46166.93036608796" createdVersion="3" refreshedVersion="3" minRefreshableVersion="3" recordCount="500" xr:uid="{00000000-000A-0000-FFFF-FFFF00000000}">
  <cacheSource type="worksheet">
    <worksheetSource name="Table1"/>
  </cacheSource>
  <cacheFields count="15">
    <cacheField name="Transaction_ID" numFmtId="0">
      <sharedItems/>
    </cacheField>
    <cacheField name="Date" numFmtId="0">
      <sharedItems/>
    </cacheField>
    <cacheField name="Time" numFmtId="0">
      <sharedItems/>
    </cacheField>
    <cacheField name="Sender_Name" numFmtId="0">
      <sharedItems/>
    </cacheField>
    <cacheField name="Receiver_Name" numFmtId="0">
      <sharedItems/>
    </cacheField>
    <cacheField name="Amount" numFmtId="0">
      <sharedItems containsSemiMixedTypes="0" containsString="0" containsNumber="1" containsInteger="1" minValue="68" maxValue="88197"/>
    </cacheField>
    <cacheField name="Transaction_Type" numFmtId="0">
      <sharedItems/>
    </cacheField>
    <cacheField name="Location" numFmtId="0">
      <sharedItems count="8">
        <s v="Bangalore"/>
        <s v="Mumbai"/>
        <s v="Kolkata"/>
        <s v="Pune"/>
        <s v="Delhi"/>
        <s v="Visakhapatnam"/>
        <s v="Hyderabad"/>
        <s v="Chennai"/>
      </sharedItems>
    </cacheField>
    <cacheField name="Device_Type" numFmtId="0">
      <sharedItems/>
    </cacheField>
    <cacheField name="Transaction_Status" numFmtId="0">
      <sharedItems/>
    </cacheField>
    <cacheField name="Bank_Name" numFmtId="0">
      <sharedItems count="7">
        <s v="Kotak"/>
        <s v="HDFC"/>
        <s v="ICICI"/>
        <s v="Axis"/>
        <s v="Canara Bank"/>
        <s v="Punjab National Bank"/>
        <s v="SBI"/>
      </sharedItems>
    </cacheField>
    <cacheField name="Fraud_Flag" numFmtId="0">
      <sharedItems count="2">
        <s v="Yes"/>
        <s v="No"/>
      </sharedItems>
    </cacheField>
    <cacheField name="Hour" numFmtId="0">
      <sharedItems containsSemiMixedTypes="0" containsString="0" containsNumber="1" containsInteger="1" minValue="0" maxValue="23" count="22">
        <n v="1"/>
        <n v="6"/>
        <n v="9"/>
        <n v="2"/>
        <n v="11"/>
        <n v="16"/>
        <n v="20"/>
        <n v="17"/>
        <n v="19"/>
        <n v="14"/>
        <n v="15"/>
        <n v="10"/>
        <n v="12"/>
        <n v="0"/>
        <n v="21"/>
        <n v="13"/>
        <n v="8"/>
        <n v="7"/>
        <n v="3"/>
        <n v="22"/>
        <n v="18"/>
        <n v="23"/>
      </sharedItems>
    </cacheField>
    <cacheField name="Risk_Level" numFmtId="0">
      <sharedItems/>
    </cacheField>
    <cacheField name="Fraud_Score" numFmtId="0">
      <sharedItems containsSemiMixedTypes="0" containsString="0" containsNumber="1" containsInteger="1" minValue="10" maxValue="115"/>
    </cacheField>
  </cacheFields>
  <extLst>
    <ext xmlns:x14="http://schemas.microsoft.com/office/spreadsheetml/2009/9/main" uri="{725AE2AE-9491-48be-B2B4-4EB974FC3084}">
      <x14:pivotCacheDefinition pivotCacheId="1464971814"/>
    </ext>
  </extLst>
</pivotCacheDefinition>
</file>

<file path=xl/pivotCache/pivotCacheRecords1.xml><?xml version="1.0" encoding="utf-8"?>
<pivotCacheRecords xmlns="http://schemas.openxmlformats.org/spreadsheetml/2006/main" xmlns:r="http://schemas.openxmlformats.org/officeDocument/2006/relationships" count="500">
  <r>
    <s v="TXN1001"/>
    <s v="13-06-2025"/>
    <s v="01:08 AM"/>
    <s v="Amira"/>
    <s v="Unknown"/>
    <n v="56048"/>
    <s v="Recharge"/>
    <x v="0"/>
    <s v="Android"/>
    <s v="Success"/>
    <x v="0"/>
    <x v="0"/>
    <x v="0"/>
    <s v="High"/>
    <n v="95"/>
  </r>
  <r>
    <s v="TXN1002"/>
    <s v="09-01-2025"/>
    <s v="01:35 AM"/>
    <s v="Nitara"/>
    <s v="Unknown"/>
    <n v="48657"/>
    <s v="Recharge"/>
    <x v="1"/>
    <s v="iPhone"/>
    <s v="Success"/>
    <x v="1"/>
    <x v="0"/>
    <x v="0"/>
    <s v="High"/>
    <n v="95"/>
  </r>
  <r>
    <s v="TXN1003"/>
    <s v="31-05-2025"/>
    <s v="06:44 AM"/>
    <s v="Badal"/>
    <s v="Myntra"/>
    <n v="14292"/>
    <s v="Shopping"/>
    <x v="2"/>
    <s v="iPhone"/>
    <s v="Success"/>
    <x v="2"/>
    <x v="1"/>
    <x v="1"/>
    <s v="Low"/>
    <n v="10"/>
  </r>
  <r>
    <s v="TXN1004"/>
    <s v="25-02-2025"/>
    <s v="09:06 AM"/>
    <s v="Alia"/>
    <s v="Amazon"/>
    <n v="5564"/>
    <s v="Transfer"/>
    <x v="3"/>
    <s v="iPhone"/>
    <s v="Failed"/>
    <x v="0"/>
    <x v="1"/>
    <x v="2"/>
    <s v="Low"/>
    <n v="30"/>
  </r>
  <r>
    <s v="TXN1005"/>
    <s v="12-01-2025"/>
    <s v="09:35 AM"/>
    <s v="Ojas"/>
    <s v="Flipkart"/>
    <n v="8835"/>
    <s v="Shopping"/>
    <x v="4"/>
    <s v="iPhone"/>
    <s v="Success"/>
    <x v="0"/>
    <x v="1"/>
    <x v="2"/>
    <s v="Low"/>
    <n v="10"/>
  </r>
  <r>
    <s v="TXN1006"/>
    <s v="30-06-2025"/>
    <s v="02:54 AM"/>
    <s v="Kaira"/>
    <s v="Unknown"/>
    <n v="49871"/>
    <s v="Transfer"/>
    <x v="1"/>
    <s v="Android"/>
    <s v="Success"/>
    <x v="3"/>
    <x v="0"/>
    <x v="3"/>
    <s v="High"/>
    <n v="95"/>
  </r>
  <r>
    <s v="TXN1007"/>
    <s v="27-04-2025"/>
    <s v="11:13 AM"/>
    <s v="Samar"/>
    <s v="Zomato"/>
    <n v="6027"/>
    <s v="Bills"/>
    <x v="4"/>
    <s v="Android"/>
    <s v="Failed"/>
    <x v="0"/>
    <x v="1"/>
    <x v="4"/>
    <s v="Low"/>
    <n v="30"/>
  </r>
  <r>
    <s v="TXN1008"/>
    <s v="13-02-2025"/>
    <s v="11:17 AM"/>
    <s v="Pihu"/>
    <s v="Flipkart"/>
    <n v="4060"/>
    <s v="Food"/>
    <x v="1"/>
    <s v="iPhone"/>
    <s v="Failed"/>
    <x v="4"/>
    <x v="1"/>
    <x v="4"/>
    <s v="Low"/>
    <n v="30"/>
  </r>
  <r>
    <s v="TXN1009"/>
    <s v="28-02-2025"/>
    <s v="04:04 PM"/>
    <s v="Yashvi"/>
    <s v="Flipkart"/>
    <n v="13239"/>
    <s v="Bills"/>
    <x v="1"/>
    <s v="iPhone"/>
    <s v="Failed"/>
    <x v="1"/>
    <x v="1"/>
    <x v="5"/>
    <s v="Low"/>
    <n v="30"/>
  </r>
  <r>
    <s v="TXN1010"/>
    <s v="08-05-2025"/>
    <s v="08:08 PM"/>
    <s v="Sara"/>
    <s v="Swiggy"/>
    <n v="10582"/>
    <s v="Travel"/>
    <x v="1"/>
    <s v="iPhone"/>
    <s v="Failed"/>
    <x v="5"/>
    <x v="1"/>
    <x v="6"/>
    <s v="Low"/>
    <n v="30"/>
  </r>
  <r>
    <s v="TXN1011"/>
    <s v="20-04-2025"/>
    <s v="05:32 PM"/>
    <s v="Hiran"/>
    <s v="Swiggy"/>
    <n v="6593"/>
    <s v="Food"/>
    <x v="5"/>
    <s v="Android"/>
    <s v="Success"/>
    <x v="4"/>
    <x v="1"/>
    <x v="7"/>
    <s v="Low"/>
    <n v="10"/>
  </r>
  <r>
    <s v="TXN1012"/>
    <s v="29-01-2025"/>
    <s v="07:24 PM"/>
    <s v="Ivan"/>
    <s v="Unknown"/>
    <n v="2671"/>
    <s v="Transfer"/>
    <x v="2"/>
    <s v="iPhone"/>
    <s v="Success"/>
    <x v="0"/>
    <x v="1"/>
    <x v="8"/>
    <s v="Low"/>
    <n v="40"/>
  </r>
  <r>
    <s v="TXN1013"/>
    <s v="22-05-2025"/>
    <s v="09:48 AM"/>
    <s v="Eva"/>
    <s v="Uber"/>
    <n v="238"/>
    <s v="Transfer"/>
    <x v="4"/>
    <s v="iPhone"/>
    <s v="Pending"/>
    <x v="6"/>
    <x v="1"/>
    <x v="2"/>
    <s v="Low"/>
    <n v="10"/>
  </r>
  <r>
    <s v="TXN1014"/>
    <s v="22-04-2025"/>
    <s v="02:32 PM"/>
    <s v="Kashvi"/>
    <s v="Unknown"/>
    <n v="103"/>
    <s v="Bills"/>
    <x v="0"/>
    <s v="iPhone"/>
    <s v="Success"/>
    <x v="4"/>
    <x v="1"/>
    <x v="9"/>
    <s v="Low"/>
    <n v="40"/>
  </r>
  <r>
    <s v="TXN1015"/>
    <s v="10-05-2025"/>
    <s v="05:34 PM"/>
    <s v="Khushi"/>
    <s v="Myntra"/>
    <n v="2554"/>
    <s v="Food"/>
    <x v="6"/>
    <s v="iPhone"/>
    <s v="Success"/>
    <x v="3"/>
    <x v="1"/>
    <x v="7"/>
    <s v="Low"/>
    <n v="10"/>
  </r>
  <r>
    <s v="TXN1016"/>
    <s v="29-01-2025"/>
    <s v="03:15 PM"/>
    <s v="Anvi"/>
    <s v="Swiggy"/>
    <n v="14446"/>
    <s v="Recharge"/>
    <x v="0"/>
    <s v="Android"/>
    <s v="Success"/>
    <x v="5"/>
    <x v="1"/>
    <x v="10"/>
    <s v="Low"/>
    <n v="10"/>
  </r>
  <r>
    <s v="TXN1017"/>
    <s v="18-01-2025"/>
    <s v="10:30 AM"/>
    <s v="Ishita"/>
    <s v="Swiggy"/>
    <n v="8777"/>
    <s v="Travel"/>
    <x v="7"/>
    <s v="iPhone"/>
    <s v="Pending"/>
    <x v="0"/>
    <x v="1"/>
    <x v="11"/>
    <s v="Low"/>
    <n v="10"/>
  </r>
  <r>
    <s v="TXN1018"/>
    <s v="19-04-2025"/>
    <s v="12:25 PM"/>
    <s v="Oorja"/>
    <s v="Uber"/>
    <n v="8885"/>
    <s v="Recharge"/>
    <x v="3"/>
    <s v="iPhone"/>
    <s v="Failed"/>
    <x v="0"/>
    <x v="1"/>
    <x v="12"/>
    <s v="Low"/>
    <n v="30"/>
  </r>
  <r>
    <s v="TXN1019"/>
    <s v="31-01-2025"/>
    <s v="04:35 PM"/>
    <s v="Shamik"/>
    <s v="Amazon"/>
    <n v="1099"/>
    <s v="Food"/>
    <x v="1"/>
    <s v="Android"/>
    <s v="Pending"/>
    <x v="6"/>
    <x v="1"/>
    <x v="5"/>
    <s v="Low"/>
    <n v="10"/>
  </r>
  <r>
    <s v="TXN1020"/>
    <s v="11-06-2025"/>
    <s v="12:04 AM"/>
    <s v="Mamooty"/>
    <s v="Unknown"/>
    <n v="28834"/>
    <s v="Recharge"/>
    <x v="1"/>
    <s v="iPhone"/>
    <s v="Failed"/>
    <x v="5"/>
    <x v="0"/>
    <x v="13"/>
    <s v="High"/>
    <n v="115"/>
  </r>
  <r>
    <s v="TXN1021"/>
    <s v="24-02-2025"/>
    <s v="09:51 PM"/>
    <s v="Shlok"/>
    <s v="Swiggy"/>
    <n v="11901"/>
    <s v="Food"/>
    <x v="2"/>
    <s v="Android"/>
    <s v="Failed"/>
    <x v="6"/>
    <x v="1"/>
    <x v="14"/>
    <s v="Low"/>
    <n v="30"/>
  </r>
  <r>
    <s v="TXN1022"/>
    <s v="18-06-2025"/>
    <s v="07:03 PM"/>
    <s v="Madhup"/>
    <s v="Flipkart"/>
    <n v="6989"/>
    <s v="Bills"/>
    <x v="0"/>
    <s v="Android"/>
    <s v="Pending"/>
    <x v="3"/>
    <x v="1"/>
    <x v="8"/>
    <s v="Low"/>
    <n v="10"/>
  </r>
  <r>
    <s v="TXN1023"/>
    <s v="28-03-2025"/>
    <s v="01:34 PM"/>
    <s v="Hridaan"/>
    <s v="Swiggy"/>
    <n v="1840"/>
    <s v="Shopping"/>
    <x v="5"/>
    <s v="Android"/>
    <s v="Success"/>
    <x v="3"/>
    <x v="1"/>
    <x v="15"/>
    <s v="Low"/>
    <n v="10"/>
  </r>
  <r>
    <s v="TXN1024"/>
    <s v="13-03-2025"/>
    <s v="08:06 AM"/>
    <s v="Aayush"/>
    <s v="Flipkart"/>
    <n v="14377"/>
    <s v="Shopping"/>
    <x v="6"/>
    <s v="Android"/>
    <s v="Pending"/>
    <x v="6"/>
    <x v="1"/>
    <x v="16"/>
    <s v="Low"/>
    <n v="10"/>
  </r>
  <r>
    <s v="TXN1025"/>
    <s v="12-02-2025"/>
    <s v="12:57 PM"/>
    <s v="Taran"/>
    <s v="Myntra"/>
    <n v="7936"/>
    <s v="Food"/>
    <x v="6"/>
    <s v="Android"/>
    <s v="Failed"/>
    <x v="3"/>
    <x v="1"/>
    <x v="12"/>
    <s v="Low"/>
    <n v="30"/>
  </r>
  <r>
    <s v="TXN1026"/>
    <s v="10-04-2025"/>
    <s v="08:44 PM"/>
    <s v="Emir"/>
    <s v="Zomato"/>
    <n v="12896"/>
    <s v="Transfer"/>
    <x v="5"/>
    <s v="Android"/>
    <s v="Failed"/>
    <x v="1"/>
    <x v="1"/>
    <x v="6"/>
    <s v="Low"/>
    <n v="30"/>
  </r>
  <r>
    <s v="TXN1027"/>
    <s v="25-02-2025"/>
    <s v="07:03 AM"/>
    <s v="Oorja"/>
    <s v="Uber"/>
    <n v="9539"/>
    <s v="Travel"/>
    <x v="6"/>
    <s v="iPhone"/>
    <s v="Failed"/>
    <x v="0"/>
    <x v="1"/>
    <x v="17"/>
    <s v="Low"/>
    <n v="30"/>
  </r>
  <r>
    <s v="TXN1028"/>
    <s v="10-02-2025"/>
    <s v="12:04 AM"/>
    <s v="Vihaan"/>
    <s v="Unknown"/>
    <n v="86562"/>
    <s v="Food"/>
    <x v="0"/>
    <s v="Android"/>
    <s v="Success"/>
    <x v="3"/>
    <x v="0"/>
    <x v="13"/>
    <s v="High"/>
    <n v="95"/>
  </r>
  <r>
    <s v="TXN1029"/>
    <s v="26-05-2025"/>
    <s v="07:26 AM"/>
    <s v="Jhanvi"/>
    <s v="Unknown"/>
    <n v="9790"/>
    <s v="Bills"/>
    <x v="3"/>
    <s v="iPhone"/>
    <s v="Success"/>
    <x v="1"/>
    <x v="1"/>
    <x v="17"/>
    <s v="Low"/>
    <n v="40"/>
  </r>
  <r>
    <s v="TXN1030"/>
    <s v="22-03-2025"/>
    <s v="10:19 AM"/>
    <s v="Nayantara"/>
    <s v="Uber"/>
    <n v="6534"/>
    <s v="Food"/>
    <x v="5"/>
    <s v="iPhone"/>
    <s v="Pending"/>
    <x v="4"/>
    <x v="1"/>
    <x v="11"/>
    <s v="Low"/>
    <n v="10"/>
  </r>
  <r>
    <s v="TXN1031"/>
    <s v="03-01-2025"/>
    <s v="09:13 AM"/>
    <s v="Aarav"/>
    <s v="Amazon"/>
    <n v="9274"/>
    <s v="Food"/>
    <x v="4"/>
    <s v="Android"/>
    <s v="Pending"/>
    <x v="2"/>
    <x v="1"/>
    <x v="2"/>
    <s v="Low"/>
    <n v="10"/>
  </r>
  <r>
    <s v="TXN1032"/>
    <s v="04-03-2025"/>
    <s v="08:45 PM"/>
    <s v="Mishti"/>
    <s v="Myntra"/>
    <n v="2634"/>
    <s v="Travel"/>
    <x v="4"/>
    <s v="Android"/>
    <s v="Pending"/>
    <x v="5"/>
    <x v="1"/>
    <x v="6"/>
    <s v="Low"/>
    <n v="10"/>
  </r>
  <r>
    <s v="TXN1033"/>
    <s v="18-03-2025"/>
    <s v="10:56 AM"/>
    <s v="Ela"/>
    <s v="Zomato"/>
    <n v="1747"/>
    <s v="Transfer"/>
    <x v="0"/>
    <s v="Android"/>
    <s v="Success"/>
    <x v="2"/>
    <x v="1"/>
    <x v="11"/>
    <s v="Low"/>
    <n v="10"/>
  </r>
  <r>
    <s v="TXN1034"/>
    <s v="04-06-2025"/>
    <s v="12:54 PM"/>
    <s v="Amani"/>
    <s v="Uber"/>
    <n v="5667"/>
    <s v="Food"/>
    <x v="4"/>
    <s v="iPhone"/>
    <s v="Pending"/>
    <x v="2"/>
    <x v="1"/>
    <x v="12"/>
    <s v="Low"/>
    <n v="10"/>
  </r>
  <r>
    <s v="TXN1035"/>
    <s v="24-01-2025"/>
    <s v="02:21 PM"/>
    <s v="Rhea"/>
    <s v="Amazon"/>
    <n v="13638"/>
    <s v="Bills"/>
    <x v="7"/>
    <s v="iPhone"/>
    <s v="Success"/>
    <x v="1"/>
    <x v="1"/>
    <x v="9"/>
    <s v="Low"/>
    <n v="10"/>
  </r>
  <r>
    <s v="TXN1036"/>
    <s v="24-04-2025"/>
    <s v="06:56 AM"/>
    <s v="Aarav"/>
    <s v="Amazon"/>
    <n v="7057"/>
    <s v="Transfer"/>
    <x v="7"/>
    <s v="Android"/>
    <s v="Success"/>
    <x v="4"/>
    <x v="1"/>
    <x v="1"/>
    <s v="Low"/>
    <n v="10"/>
  </r>
  <r>
    <s v="TXN1037"/>
    <s v="30-05-2025"/>
    <s v="10:23 AM"/>
    <s v="Shamik"/>
    <s v="Amazon"/>
    <n v="7091"/>
    <s v="Bills"/>
    <x v="6"/>
    <s v="iPhone"/>
    <s v="Failed"/>
    <x v="1"/>
    <x v="1"/>
    <x v="11"/>
    <s v="Low"/>
    <n v="30"/>
  </r>
  <r>
    <s v="TXN1038"/>
    <s v="05-03-2025"/>
    <s v="07:09 PM"/>
    <s v="Samarth"/>
    <s v="Unknown"/>
    <n v="5844"/>
    <s v="Shopping"/>
    <x v="1"/>
    <s v="Android"/>
    <s v="Pending"/>
    <x v="4"/>
    <x v="1"/>
    <x v="8"/>
    <s v="Low"/>
    <n v="40"/>
  </r>
  <r>
    <s v="TXN1039"/>
    <s v="16-04-2025"/>
    <s v="03:17 AM"/>
    <s v="Neysa"/>
    <s v="Unknown"/>
    <n v="63540"/>
    <s v="Food"/>
    <x v="7"/>
    <s v="Android"/>
    <s v="Success"/>
    <x v="3"/>
    <x v="0"/>
    <x v="18"/>
    <s v="High"/>
    <n v="95"/>
  </r>
  <r>
    <s v="TXN1040"/>
    <s v="01-05-2025"/>
    <s v="08:52 PM"/>
    <s v="Ryan"/>
    <s v="Zomato"/>
    <n v="13428"/>
    <s v="Bills"/>
    <x v="1"/>
    <s v="Android"/>
    <s v="Failed"/>
    <x v="6"/>
    <x v="1"/>
    <x v="6"/>
    <s v="Low"/>
    <n v="30"/>
  </r>
  <r>
    <s v="TXN1041"/>
    <s v="19-02-2025"/>
    <s v="08:22 AM"/>
    <s v="Yuvaan"/>
    <s v="Myntra"/>
    <n v="4614"/>
    <s v="Food"/>
    <x v="2"/>
    <s v="iPhone"/>
    <s v="Failed"/>
    <x v="6"/>
    <x v="1"/>
    <x v="16"/>
    <s v="Low"/>
    <n v="30"/>
  </r>
  <r>
    <s v="TXN1042"/>
    <s v="08-03-2025"/>
    <s v="07:27 AM"/>
    <s v="Ishita"/>
    <s v="Amazon"/>
    <n v="4399"/>
    <s v="Travel"/>
    <x v="3"/>
    <s v="iPhone"/>
    <s v="Pending"/>
    <x v="3"/>
    <x v="1"/>
    <x v="17"/>
    <s v="Low"/>
    <n v="10"/>
  </r>
  <r>
    <s v="TXN1043"/>
    <s v="11-05-2025"/>
    <s v="02:45 AM"/>
    <s v="Tara"/>
    <s v="Unknown"/>
    <n v="44914"/>
    <s v="Travel"/>
    <x v="2"/>
    <s v="Android"/>
    <s v="Success"/>
    <x v="0"/>
    <x v="0"/>
    <x v="3"/>
    <s v="High"/>
    <n v="95"/>
  </r>
  <r>
    <s v="TXN1044"/>
    <s v="25-06-2025"/>
    <s v="12:04 PM"/>
    <s v="Siya"/>
    <s v="Zomato"/>
    <n v="12206"/>
    <s v="Food"/>
    <x v="3"/>
    <s v="iPhone"/>
    <s v="Failed"/>
    <x v="5"/>
    <x v="1"/>
    <x v="12"/>
    <s v="Low"/>
    <n v="30"/>
  </r>
  <r>
    <s v="TXN1045"/>
    <s v="18-03-2025"/>
    <s v="07:44 PM"/>
    <s v="Aniruddh"/>
    <s v="Zomato"/>
    <n v="10976"/>
    <s v="Recharge"/>
    <x v="4"/>
    <s v="Android"/>
    <s v="Failed"/>
    <x v="1"/>
    <x v="1"/>
    <x v="8"/>
    <s v="Low"/>
    <n v="30"/>
  </r>
  <r>
    <s v="TXN1046"/>
    <s v="20-06-2025"/>
    <s v="11:19 AM"/>
    <s v="Sana"/>
    <s v="Unknown"/>
    <n v="11147"/>
    <s v="Transfer"/>
    <x v="2"/>
    <s v="Android"/>
    <s v="Pending"/>
    <x v="2"/>
    <x v="1"/>
    <x v="4"/>
    <s v="Low"/>
    <n v="40"/>
  </r>
  <r>
    <s v="TXN1047"/>
    <s v="23-02-2025"/>
    <s v="04:28 PM"/>
    <s v="Mishti"/>
    <s v="Flipkart"/>
    <n v="9552"/>
    <s v="Bills"/>
    <x v="1"/>
    <s v="iPhone"/>
    <s v="Failed"/>
    <x v="4"/>
    <x v="1"/>
    <x v="5"/>
    <s v="Low"/>
    <n v="30"/>
  </r>
  <r>
    <s v="TXN1048"/>
    <s v="13-02-2025"/>
    <s v="10:39 PM"/>
    <s v="Nakul"/>
    <s v="Uber"/>
    <n v="4699"/>
    <s v="Shopping"/>
    <x v="3"/>
    <s v="Android"/>
    <s v="Pending"/>
    <x v="4"/>
    <x v="1"/>
    <x v="19"/>
    <s v="Low"/>
    <n v="10"/>
  </r>
  <r>
    <s v="TXN1049"/>
    <s v="22-06-2025"/>
    <s v="12:02 PM"/>
    <s v="Piya"/>
    <s v="Swiggy"/>
    <n v="13264"/>
    <s v="Food"/>
    <x v="1"/>
    <s v="iPhone"/>
    <s v="Success"/>
    <x v="0"/>
    <x v="1"/>
    <x v="12"/>
    <s v="Low"/>
    <n v="10"/>
  </r>
  <r>
    <s v="TXN1050"/>
    <s v="27-04-2025"/>
    <s v="12:24 PM"/>
    <s v="Ira"/>
    <s v="Uber"/>
    <n v="10368"/>
    <s v="Shopping"/>
    <x v="5"/>
    <s v="iPhone"/>
    <s v="Pending"/>
    <x v="1"/>
    <x v="1"/>
    <x v="12"/>
    <s v="Low"/>
    <n v="10"/>
  </r>
  <r>
    <s v="TXN1051"/>
    <s v="17-06-2025"/>
    <s v="09:14 AM"/>
    <s v="Siya"/>
    <s v="Myntra"/>
    <n v="14675"/>
    <s v="Travel"/>
    <x v="7"/>
    <s v="iPhone"/>
    <s v="Failed"/>
    <x v="6"/>
    <x v="1"/>
    <x v="2"/>
    <s v="Low"/>
    <n v="30"/>
  </r>
  <r>
    <s v="TXN1052"/>
    <s v="05-03-2025"/>
    <s v="08:42 PM"/>
    <s v="Aaina"/>
    <s v="Swiggy"/>
    <n v="2038"/>
    <s v="Bills"/>
    <x v="3"/>
    <s v="iPhone"/>
    <s v="Failed"/>
    <x v="0"/>
    <x v="1"/>
    <x v="6"/>
    <s v="Low"/>
    <n v="30"/>
  </r>
  <r>
    <s v="TXN1053"/>
    <s v="10-05-2025"/>
    <s v="08:55 PM"/>
    <s v="Eva"/>
    <s v="Swiggy"/>
    <n v="14907"/>
    <s v="Shopping"/>
    <x v="5"/>
    <s v="iPhone"/>
    <s v="Pending"/>
    <x v="2"/>
    <x v="1"/>
    <x v="6"/>
    <s v="Low"/>
    <n v="10"/>
  </r>
  <r>
    <s v="TXN1054"/>
    <s v="13-06-2025"/>
    <s v="10:15 PM"/>
    <s v="Myra"/>
    <s v="Flipkart"/>
    <n v="12791"/>
    <s v="Bills"/>
    <x v="4"/>
    <s v="iPhone"/>
    <s v="Pending"/>
    <x v="6"/>
    <x v="1"/>
    <x v="19"/>
    <s v="Low"/>
    <n v="10"/>
  </r>
  <r>
    <s v="TXN1055"/>
    <s v="15-03-2025"/>
    <s v="04:08 PM"/>
    <s v="Purab"/>
    <s v="Unknown"/>
    <n v="5552"/>
    <s v="Bills"/>
    <x v="7"/>
    <s v="Android"/>
    <s v="Success"/>
    <x v="3"/>
    <x v="1"/>
    <x v="5"/>
    <s v="Low"/>
    <n v="40"/>
  </r>
  <r>
    <s v="TXN1056"/>
    <s v="09-02-2025"/>
    <s v="07:34 PM"/>
    <s v="Renee"/>
    <s v="Flipkart"/>
    <n v="1102"/>
    <s v="Shopping"/>
    <x v="5"/>
    <s v="iPhone"/>
    <s v="Failed"/>
    <x v="6"/>
    <x v="1"/>
    <x v="8"/>
    <s v="Low"/>
    <n v="30"/>
  </r>
  <r>
    <s v="TXN1057"/>
    <s v="18-04-2025"/>
    <s v="06:24 AM"/>
    <s v="Manjari"/>
    <s v="Myntra"/>
    <n v="12662"/>
    <s v="Transfer"/>
    <x v="5"/>
    <s v="Android"/>
    <s v="Pending"/>
    <x v="2"/>
    <x v="1"/>
    <x v="1"/>
    <s v="Low"/>
    <n v="10"/>
  </r>
  <r>
    <s v="TXN1058"/>
    <s v="10-04-2025"/>
    <s v="07:47 PM"/>
    <s v="Prisha"/>
    <s v="Unknown"/>
    <n v="13742"/>
    <s v="Transfer"/>
    <x v="1"/>
    <s v="iPhone"/>
    <s v="Pending"/>
    <x v="1"/>
    <x v="1"/>
    <x v="8"/>
    <s v="Low"/>
    <n v="40"/>
  </r>
  <r>
    <s v="TXN1059"/>
    <s v="22-04-2025"/>
    <s v="04:51 PM"/>
    <s v="Yuvraj "/>
    <s v="Uber"/>
    <n v="6421"/>
    <s v="Recharge"/>
    <x v="2"/>
    <s v="Android"/>
    <s v="Pending"/>
    <x v="4"/>
    <x v="1"/>
    <x v="5"/>
    <s v="Low"/>
    <n v="10"/>
  </r>
  <r>
    <s v="TXN1060"/>
    <s v="02-02-2025"/>
    <s v="06:36 AM"/>
    <s v="Fateh"/>
    <s v="Flipkart"/>
    <n v="8801"/>
    <s v="Recharge"/>
    <x v="6"/>
    <s v="Android"/>
    <s v="Pending"/>
    <x v="5"/>
    <x v="1"/>
    <x v="1"/>
    <s v="Low"/>
    <n v="10"/>
  </r>
  <r>
    <s v="TXN1061"/>
    <s v="04-02-2025"/>
    <s v="07:20 AM"/>
    <s v="Zeeshan"/>
    <s v="Zomato"/>
    <n v="3027"/>
    <s v="Transfer"/>
    <x v="1"/>
    <s v="iPhone"/>
    <s v="Failed"/>
    <x v="2"/>
    <x v="1"/>
    <x v="17"/>
    <s v="Low"/>
    <n v="30"/>
  </r>
  <r>
    <s v="TXN1062"/>
    <s v="08-04-2025"/>
    <s v="07:30 PM"/>
    <s v="Manikya"/>
    <s v="Zomato"/>
    <n v="13680"/>
    <s v="Shopping"/>
    <x v="6"/>
    <s v="Android"/>
    <s v="Success"/>
    <x v="2"/>
    <x v="1"/>
    <x v="8"/>
    <s v="Low"/>
    <n v="10"/>
  </r>
  <r>
    <s v="TXN1063"/>
    <s v="16-06-2025"/>
    <s v="12:12 AM"/>
    <s v="Seher"/>
    <s v="Unknown"/>
    <n v="25276"/>
    <s v="Shopping"/>
    <x v="6"/>
    <s v="Android"/>
    <s v="Success"/>
    <x v="1"/>
    <x v="0"/>
    <x v="13"/>
    <s v="High"/>
    <n v="95"/>
  </r>
  <r>
    <s v="TXN1064"/>
    <s v="02-05-2025"/>
    <s v="12:16 PM"/>
    <s v="Bhavin"/>
    <s v="Flipkart"/>
    <n v="9290"/>
    <s v="Travel"/>
    <x v="3"/>
    <s v="Android"/>
    <s v="Pending"/>
    <x v="0"/>
    <x v="1"/>
    <x v="12"/>
    <s v="Low"/>
    <n v="10"/>
  </r>
  <r>
    <s v="TXN1065"/>
    <s v="30-01-2025"/>
    <s v="03:01 PM"/>
    <s v="Tiya"/>
    <s v="Amazon"/>
    <n v="2733"/>
    <s v="Bills"/>
    <x v="4"/>
    <s v="iPhone"/>
    <s v="Pending"/>
    <x v="3"/>
    <x v="1"/>
    <x v="10"/>
    <s v="Low"/>
    <n v="10"/>
  </r>
  <r>
    <s v="TXN1066"/>
    <s v="20-02-2025"/>
    <s v="12:54 AM"/>
    <s v="Himmat"/>
    <s v="Unknown"/>
    <n v="51830"/>
    <s v="Travel"/>
    <x v="0"/>
    <s v="Android"/>
    <s v="Failed"/>
    <x v="2"/>
    <x v="0"/>
    <x v="13"/>
    <s v="High"/>
    <n v="115"/>
  </r>
  <r>
    <s v="TXN1067"/>
    <s v="20-04-2025"/>
    <s v="10:00 PM"/>
    <s v="Yashvi"/>
    <s v="Uber"/>
    <n v="1179"/>
    <s v="Recharge"/>
    <x v="2"/>
    <s v="iPhone"/>
    <s v="Failed"/>
    <x v="6"/>
    <x v="1"/>
    <x v="19"/>
    <s v="Low"/>
    <n v="30"/>
  </r>
  <r>
    <s v="TXN1068"/>
    <s v="03-04-2025"/>
    <s v="08:27 PM"/>
    <s v="Miraya"/>
    <s v="Uber"/>
    <n v="13627"/>
    <s v="Travel"/>
    <x v="7"/>
    <s v="iPhone"/>
    <s v="Success"/>
    <x v="0"/>
    <x v="1"/>
    <x v="6"/>
    <s v="Low"/>
    <n v="10"/>
  </r>
  <r>
    <s v="TXN1069"/>
    <s v="04-05-2025"/>
    <s v="02:53 PM"/>
    <s v="Vihaan"/>
    <s v="Zomato"/>
    <n v="13578"/>
    <s v="Shopping"/>
    <x v="0"/>
    <s v="iPhone"/>
    <s v="Success"/>
    <x v="3"/>
    <x v="1"/>
    <x v="9"/>
    <s v="Low"/>
    <n v="10"/>
  </r>
  <r>
    <s v="TXN1070"/>
    <s v="29-04-2025"/>
    <s v="06:31 PM"/>
    <s v="Nayantara"/>
    <s v="Zomato"/>
    <n v="10997"/>
    <s v="Shopping"/>
    <x v="3"/>
    <s v="Android"/>
    <s v="Success"/>
    <x v="3"/>
    <x v="1"/>
    <x v="20"/>
    <s v="Low"/>
    <n v="10"/>
  </r>
  <r>
    <s v="TXN1071"/>
    <s v="01-04-2025"/>
    <s v="02:56 PM"/>
    <s v="Eva"/>
    <s v="Unknown"/>
    <n v="5626"/>
    <s v="Shopping"/>
    <x v="4"/>
    <s v="Android"/>
    <s v="Pending"/>
    <x v="0"/>
    <x v="1"/>
    <x v="9"/>
    <s v="Low"/>
    <n v="40"/>
  </r>
  <r>
    <s v="TXN1072"/>
    <s v="22-01-2025"/>
    <s v="09:44 PM"/>
    <s v="Saira"/>
    <s v="Unknown"/>
    <n v="6708"/>
    <s v="Food"/>
    <x v="5"/>
    <s v="iPhone"/>
    <s v="Success"/>
    <x v="3"/>
    <x v="1"/>
    <x v="14"/>
    <s v="Low"/>
    <n v="40"/>
  </r>
  <r>
    <s v="TXN1073"/>
    <s v="24-01-2025"/>
    <s v="01:37 PM"/>
    <s v="Romil"/>
    <s v="Zomato"/>
    <n v="6675"/>
    <s v="Travel"/>
    <x v="3"/>
    <s v="iPhone"/>
    <s v="Pending"/>
    <x v="0"/>
    <x v="1"/>
    <x v="15"/>
    <s v="Low"/>
    <n v="10"/>
  </r>
  <r>
    <s v="TXN1074"/>
    <s v="30-03-2025"/>
    <s v="04:29 PM"/>
    <s v="Anika"/>
    <s v="Zomato"/>
    <n v="12271"/>
    <s v="Shopping"/>
    <x v="4"/>
    <s v="iPhone"/>
    <s v="Pending"/>
    <x v="2"/>
    <x v="1"/>
    <x v="5"/>
    <s v="Low"/>
    <n v="10"/>
  </r>
  <r>
    <s v="TXN1075"/>
    <s v="31-01-2025"/>
    <s v="09:48 AM"/>
    <s v="Ayesha"/>
    <s v="Uber"/>
    <n v="5219"/>
    <s v="Bills"/>
    <x v="7"/>
    <s v="Android"/>
    <s v="Pending"/>
    <x v="1"/>
    <x v="1"/>
    <x v="2"/>
    <s v="Low"/>
    <n v="10"/>
  </r>
  <r>
    <s v="TXN1076"/>
    <s v="04-05-2025"/>
    <s v="10:06 PM"/>
    <s v="Riaan"/>
    <s v="Unknown"/>
    <n v="9709"/>
    <s v="Transfer"/>
    <x v="1"/>
    <s v="iPhone"/>
    <s v="Failed"/>
    <x v="1"/>
    <x v="1"/>
    <x v="19"/>
    <s v="Low"/>
    <n v="60"/>
  </r>
  <r>
    <s v="TXN1077"/>
    <s v="15-02-2025"/>
    <s v="10:03 AM"/>
    <s v="Dharmajan"/>
    <s v="Zomato"/>
    <n v="11650"/>
    <s v="Recharge"/>
    <x v="4"/>
    <s v="Android"/>
    <s v="Success"/>
    <x v="5"/>
    <x v="1"/>
    <x v="11"/>
    <s v="Low"/>
    <n v="10"/>
  </r>
  <r>
    <s v="TXN1078"/>
    <s v="27-01-2025"/>
    <s v="03:28 PM"/>
    <s v="Taimur"/>
    <s v="Flipkart"/>
    <n v="9455"/>
    <s v="Transfer"/>
    <x v="3"/>
    <s v="Android"/>
    <s v="Failed"/>
    <x v="6"/>
    <x v="1"/>
    <x v="10"/>
    <s v="Low"/>
    <n v="30"/>
  </r>
  <r>
    <s v="TXN1079"/>
    <s v="03-05-2025"/>
    <s v="03:04 AM"/>
    <s v="Nirvaan"/>
    <s v="Unknown"/>
    <n v="28564"/>
    <s v="Travel"/>
    <x v="6"/>
    <s v="Android"/>
    <s v="Failed"/>
    <x v="1"/>
    <x v="0"/>
    <x v="18"/>
    <s v="High"/>
    <n v="115"/>
  </r>
  <r>
    <s v="TXN1080"/>
    <s v="19-03-2025"/>
    <s v="12:38 AM"/>
    <s v="Elakshi"/>
    <s v="Unknown"/>
    <n v="52530"/>
    <s v="Recharge"/>
    <x v="1"/>
    <s v="iPhone"/>
    <s v="Failed"/>
    <x v="3"/>
    <x v="0"/>
    <x v="13"/>
    <s v="High"/>
    <n v="115"/>
  </r>
  <r>
    <s v="TXN1081"/>
    <s v="18-03-2025"/>
    <s v="03:03 PM"/>
    <s v="Tejas"/>
    <s v="Unknown"/>
    <n v="7075"/>
    <s v="Shopping"/>
    <x v="0"/>
    <s v="Android"/>
    <s v="Pending"/>
    <x v="5"/>
    <x v="1"/>
    <x v="10"/>
    <s v="Low"/>
    <n v="40"/>
  </r>
  <r>
    <s v="TXN1082"/>
    <s v="09-03-2025"/>
    <s v="01:04 PM"/>
    <s v="Taimur"/>
    <s v="Swiggy"/>
    <n v="2623"/>
    <s v="Recharge"/>
    <x v="7"/>
    <s v="Android"/>
    <s v="Pending"/>
    <x v="3"/>
    <x v="1"/>
    <x v="15"/>
    <s v="Low"/>
    <n v="10"/>
  </r>
  <r>
    <s v="TXN1083"/>
    <s v="26-06-2025"/>
    <s v="07:45 AM"/>
    <s v="Badal"/>
    <s v="Swiggy"/>
    <n v="4821"/>
    <s v="Bills"/>
    <x v="4"/>
    <s v="iPhone"/>
    <s v="Failed"/>
    <x v="6"/>
    <x v="1"/>
    <x v="17"/>
    <s v="Low"/>
    <n v="30"/>
  </r>
  <r>
    <s v="TXN1084"/>
    <s v="01-03-2025"/>
    <s v="12:34 PM"/>
    <s v="Pihu"/>
    <s v="Flipkart"/>
    <n v="12957"/>
    <s v="Shopping"/>
    <x v="1"/>
    <s v="Android"/>
    <s v="Success"/>
    <x v="2"/>
    <x v="1"/>
    <x v="12"/>
    <s v="Low"/>
    <n v="10"/>
  </r>
  <r>
    <s v="TXN1085"/>
    <s v="19-01-2025"/>
    <s v="11:28 PM"/>
    <s v="Nirvaan"/>
    <s v="Unknown"/>
    <n v="60319"/>
    <s v="Transfer"/>
    <x v="0"/>
    <s v="iPhone"/>
    <s v="Failed"/>
    <x v="5"/>
    <x v="0"/>
    <x v="21"/>
    <s v="High"/>
    <n v="100"/>
  </r>
  <r>
    <s v="TXN1086"/>
    <s v="29-06-2025"/>
    <s v="10:28 PM"/>
    <s v="Abram"/>
    <s v="Unknown"/>
    <n v="4510"/>
    <s v="Bills"/>
    <x v="0"/>
    <s v="Android"/>
    <s v="Failed"/>
    <x v="3"/>
    <x v="1"/>
    <x v="19"/>
    <s v="Low"/>
    <n v="60"/>
  </r>
  <r>
    <s v="TXN1087"/>
    <s v="24-03-2025"/>
    <s v="08:53 AM"/>
    <s v="Manikya"/>
    <s v="Swiggy"/>
    <n v="473"/>
    <s v="Food"/>
    <x v="6"/>
    <s v="iPhone"/>
    <s v="Pending"/>
    <x v="0"/>
    <x v="1"/>
    <x v="16"/>
    <s v="Low"/>
    <n v="10"/>
  </r>
  <r>
    <s v="TXN1088"/>
    <s v="14-02-2025"/>
    <s v="08:37 PM"/>
    <s v="Manikya"/>
    <s v="Zomato"/>
    <n v="10724"/>
    <s v="Recharge"/>
    <x v="2"/>
    <s v="iPhone"/>
    <s v="Success"/>
    <x v="6"/>
    <x v="1"/>
    <x v="6"/>
    <s v="Low"/>
    <n v="10"/>
  </r>
  <r>
    <s v="TXN1089"/>
    <s v="31-03-2025"/>
    <s v="09:21 AM"/>
    <s v="Sahil"/>
    <s v="Myntra"/>
    <n v="5310"/>
    <s v="Bills"/>
    <x v="2"/>
    <s v="iPhone"/>
    <s v="Success"/>
    <x v="2"/>
    <x v="1"/>
    <x v="2"/>
    <s v="Low"/>
    <n v="10"/>
  </r>
  <r>
    <s v="TXN1090"/>
    <s v="13-04-2025"/>
    <s v="07:20 AM"/>
    <s v="Zain"/>
    <s v="Flipkart"/>
    <n v="9062"/>
    <s v="Recharge"/>
    <x v="4"/>
    <s v="iPhone"/>
    <s v="Success"/>
    <x v="6"/>
    <x v="1"/>
    <x v="17"/>
    <s v="Low"/>
    <n v="10"/>
  </r>
  <r>
    <s v="TXN1091"/>
    <s v="12-05-2025"/>
    <s v="08:12 PM"/>
    <s v="Inaaya "/>
    <s v="Flipkart"/>
    <n v="68"/>
    <s v="Recharge"/>
    <x v="3"/>
    <s v="iPhone"/>
    <s v="Success"/>
    <x v="5"/>
    <x v="1"/>
    <x v="6"/>
    <s v="Low"/>
    <n v="10"/>
  </r>
  <r>
    <s v="TXN1092"/>
    <s v="14-01-2025"/>
    <s v="10:56 AM"/>
    <s v="Nishith"/>
    <s v="Zomato"/>
    <n v="9048"/>
    <s v="Bills"/>
    <x v="5"/>
    <s v="Android"/>
    <s v="Failed"/>
    <x v="6"/>
    <x v="1"/>
    <x v="11"/>
    <s v="Low"/>
    <n v="30"/>
  </r>
  <r>
    <s v="TXN1093"/>
    <s v="05-06-2025"/>
    <s v="11:00 AM"/>
    <s v="Zoya"/>
    <s v="Zomato"/>
    <n v="11679"/>
    <s v="Food"/>
    <x v="2"/>
    <s v="Android"/>
    <s v="Pending"/>
    <x v="1"/>
    <x v="1"/>
    <x v="4"/>
    <s v="Low"/>
    <n v="10"/>
  </r>
  <r>
    <s v="TXN1094"/>
    <s v="29-04-2025"/>
    <s v="10:18 AM"/>
    <s v="Arnav"/>
    <s v="Flipkart"/>
    <n v="10662"/>
    <s v="Recharge"/>
    <x v="4"/>
    <s v="iPhone"/>
    <s v="Pending"/>
    <x v="4"/>
    <x v="1"/>
    <x v="11"/>
    <s v="Low"/>
    <n v="10"/>
  </r>
  <r>
    <s v="TXN1095"/>
    <s v="01-05-2025"/>
    <s v="10:58 AM"/>
    <s v="Kaira"/>
    <s v="Flipkart"/>
    <n v="9081"/>
    <s v="Recharge"/>
    <x v="7"/>
    <s v="Android"/>
    <s v="Success"/>
    <x v="2"/>
    <x v="1"/>
    <x v="11"/>
    <s v="Low"/>
    <n v="10"/>
  </r>
  <r>
    <s v="TXN1096"/>
    <s v="29-03-2025"/>
    <s v="02:18 PM"/>
    <s v="Diya"/>
    <s v="Myntra"/>
    <n v="8368"/>
    <s v="Shopping"/>
    <x v="4"/>
    <s v="iPhone"/>
    <s v="Success"/>
    <x v="4"/>
    <x v="1"/>
    <x v="9"/>
    <s v="Low"/>
    <n v="10"/>
  </r>
  <r>
    <s v="TXN1097"/>
    <s v="25-04-2025"/>
    <s v="04:24 PM"/>
    <s v="Devansh"/>
    <s v="Unknown"/>
    <n v="5704"/>
    <s v="Shopping"/>
    <x v="5"/>
    <s v="iPhone"/>
    <s v="Pending"/>
    <x v="4"/>
    <x v="1"/>
    <x v="5"/>
    <s v="Low"/>
    <n v="40"/>
  </r>
  <r>
    <s v="TXN1098"/>
    <s v="28-06-2025"/>
    <s v="01:02 PM"/>
    <s v="Trisha"/>
    <s v="Myntra"/>
    <n v="6324"/>
    <s v="Recharge"/>
    <x v="3"/>
    <s v="iPhone"/>
    <s v="Failed"/>
    <x v="5"/>
    <x v="1"/>
    <x v="15"/>
    <s v="Low"/>
    <n v="30"/>
  </r>
  <r>
    <s v="TXN1099"/>
    <s v="09-04-2025"/>
    <s v="10:08 AM"/>
    <s v="Kaira"/>
    <s v="Flipkart"/>
    <n v="13032"/>
    <s v="Recharge"/>
    <x v="3"/>
    <s v="Android"/>
    <s v="Success"/>
    <x v="4"/>
    <x v="1"/>
    <x v="11"/>
    <s v="Low"/>
    <n v="10"/>
  </r>
  <r>
    <s v="TXN1100"/>
    <s v="26-01-2025"/>
    <s v="06:26 AM"/>
    <s v="Adah"/>
    <s v="Uber"/>
    <n v="7536"/>
    <s v="Transfer"/>
    <x v="7"/>
    <s v="Android"/>
    <s v="Success"/>
    <x v="3"/>
    <x v="1"/>
    <x v="1"/>
    <s v="Low"/>
    <n v="10"/>
  </r>
  <r>
    <s v="TXN1101"/>
    <s v="28-03-2025"/>
    <s v="08:54 AM"/>
    <s v="Advika"/>
    <s v="Myntra"/>
    <n v="6562"/>
    <s v="Bills"/>
    <x v="2"/>
    <s v="iPhone"/>
    <s v="Failed"/>
    <x v="5"/>
    <x v="1"/>
    <x v="16"/>
    <s v="Low"/>
    <n v="30"/>
  </r>
  <r>
    <s v="TXN1102"/>
    <s v="05-05-2025"/>
    <s v="08:43 AM"/>
    <s v="Vihaan"/>
    <s v="Swiggy"/>
    <n v="638"/>
    <s v="Food"/>
    <x v="4"/>
    <s v="Android"/>
    <s v="Pending"/>
    <x v="5"/>
    <x v="1"/>
    <x v="16"/>
    <s v="Low"/>
    <n v="10"/>
  </r>
  <r>
    <s v="TXN1103"/>
    <s v="22-04-2025"/>
    <s v="09:44 AM"/>
    <s v="Manikya"/>
    <s v="Flipkart"/>
    <n v="12507"/>
    <s v="Transfer"/>
    <x v="4"/>
    <s v="Android"/>
    <s v="Success"/>
    <x v="6"/>
    <x v="1"/>
    <x v="2"/>
    <s v="Low"/>
    <n v="10"/>
  </r>
  <r>
    <s v="TXN1104"/>
    <s v="15-01-2025"/>
    <s v="07:33 PM"/>
    <s v="Parinaaz"/>
    <s v="Swiggy"/>
    <n v="6191"/>
    <s v="Shopping"/>
    <x v="2"/>
    <s v="Android"/>
    <s v="Success"/>
    <x v="1"/>
    <x v="1"/>
    <x v="8"/>
    <s v="Low"/>
    <n v="10"/>
  </r>
  <r>
    <s v="TXN1105"/>
    <s v="21-01-2025"/>
    <s v="01:09 PM"/>
    <s v="Emir"/>
    <s v="Flipkart"/>
    <n v="6317"/>
    <s v="Transfer"/>
    <x v="1"/>
    <s v="iPhone"/>
    <s v="Pending"/>
    <x v="5"/>
    <x v="1"/>
    <x v="15"/>
    <s v="Low"/>
    <n v="10"/>
  </r>
  <r>
    <s v="TXN1106"/>
    <s v="28-04-2025"/>
    <s v="08:34 PM"/>
    <s v="Abram"/>
    <s v="Zomato"/>
    <n v="203"/>
    <s v="Transfer"/>
    <x v="7"/>
    <s v="Android"/>
    <s v="Pending"/>
    <x v="3"/>
    <x v="1"/>
    <x v="6"/>
    <s v="Low"/>
    <n v="10"/>
  </r>
  <r>
    <s v="TXN1107"/>
    <s v="31-05-2025"/>
    <s v="02:12 PM"/>
    <s v="Vedika"/>
    <s v="Flipkart"/>
    <n v="7001"/>
    <s v="Shopping"/>
    <x v="2"/>
    <s v="iPhone"/>
    <s v="Failed"/>
    <x v="6"/>
    <x v="1"/>
    <x v="9"/>
    <s v="Low"/>
    <n v="30"/>
  </r>
  <r>
    <s v="TXN1108"/>
    <s v="08-04-2025"/>
    <s v="03:01 PM"/>
    <s v="Ahana "/>
    <s v="Uber"/>
    <n v="9467"/>
    <s v="Travel"/>
    <x v="2"/>
    <s v="iPhone"/>
    <s v="Failed"/>
    <x v="6"/>
    <x v="1"/>
    <x v="10"/>
    <s v="Low"/>
    <n v="30"/>
  </r>
  <r>
    <s v="TXN1109"/>
    <s v="25-06-2025"/>
    <s v="09:49 PM"/>
    <s v="Shamik"/>
    <s v="Myntra"/>
    <n v="853"/>
    <s v="Bills"/>
    <x v="1"/>
    <s v="iPhone"/>
    <s v="Failed"/>
    <x v="1"/>
    <x v="1"/>
    <x v="14"/>
    <s v="Low"/>
    <n v="30"/>
  </r>
  <r>
    <s v="TXN1110"/>
    <s v="18-02-2025"/>
    <s v="10:57 AM"/>
    <s v="Diya"/>
    <s v="Uber"/>
    <n v="11154"/>
    <s v="Recharge"/>
    <x v="6"/>
    <s v="iPhone"/>
    <s v="Success"/>
    <x v="4"/>
    <x v="1"/>
    <x v="11"/>
    <s v="Low"/>
    <n v="10"/>
  </r>
  <r>
    <s v="TXN1111"/>
    <s v="09-01-2025"/>
    <s v="10:20 AM"/>
    <s v="Dishani"/>
    <s v="Amazon"/>
    <n v="12048"/>
    <s v="Shopping"/>
    <x v="2"/>
    <s v="Android"/>
    <s v="Failed"/>
    <x v="1"/>
    <x v="1"/>
    <x v="11"/>
    <s v="Low"/>
    <n v="30"/>
  </r>
  <r>
    <s v="TXN1112"/>
    <s v="19-05-2025"/>
    <s v="10:53 PM"/>
    <s v="Indranil"/>
    <s v="Unknown"/>
    <n v="6044"/>
    <s v="Recharge"/>
    <x v="7"/>
    <s v="iPhone"/>
    <s v="Failed"/>
    <x v="4"/>
    <x v="1"/>
    <x v="19"/>
    <s v="Low"/>
    <n v="60"/>
  </r>
  <r>
    <s v="TXN1113"/>
    <s v="17-03-2025"/>
    <s v="09:09 AM"/>
    <s v="Sana"/>
    <s v="Flipkart"/>
    <n v="5599"/>
    <s v="Travel"/>
    <x v="1"/>
    <s v="iPhone"/>
    <s v="Success"/>
    <x v="4"/>
    <x v="1"/>
    <x v="2"/>
    <s v="Low"/>
    <n v="10"/>
  </r>
  <r>
    <s v="TXN1114"/>
    <s v="04-04-2025"/>
    <s v="12:34 AM"/>
    <s v="Rhea"/>
    <s v="Unknown"/>
    <n v="71717"/>
    <s v="Bills"/>
    <x v="0"/>
    <s v="iPhone"/>
    <s v="Failed"/>
    <x v="2"/>
    <x v="0"/>
    <x v="13"/>
    <s v="High"/>
    <n v="115"/>
  </r>
  <r>
    <s v="TXN1115"/>
    <s v="22-06-2025"/>
    <s v="05:14 PM"/>
    <s v="Samaira"/>
    <s v="Amazon"/>
    <n v="6292"/>
    <s v="Travel"/>
    <x v="5"/>
    <s v="Android"/>
    <s v="Pending"/>
    <x v="0"/>
    <x v="1"/>
    <x v="7"/>
    <s v="Low"/>
    <n v="10"/>
  </r>
  <r>
    <s v="TXN1116"/>
    <s v="25-03-2025"/>
    <s v="08:58 AM"/>
    <s v="Charvi"/>
    <s v="Uber"/>
    <n v="3676"/>
    <s v="Shopping"/>
    <x v="4"/>
    <s v="iPhone"/>
    <s v="Failed"/>
    <x v="6"/>
    <x v="1"/>
    <x v="16"/>
    <s v="Low"/>
    <n v="30"/>
  </r>
  <r>
    <s v="TXN1117"/>
    <s v="12-01-2025"/>
    <s v="09:15 PM"/>
    <s v="Baiju"/>
    <s v="Amazon"/>
    <n v="5036"/>
    <s v="Transfer"/>
    <x v="7"/>
    <s v="iPhone"/>
    <s v="Success"/>
    <x v="3"/>
    <x v="1"/>
    <x v="14"/>
    <s v="Low"/>
    <n v="10"/>
  </r>
  <r>
    <s v="TXN1118"/>
    <s v="21-06-2025"/>
    <s v="07:46 PM"/>
    <s v="Darshit"/>
    <s v="Unknown"/>
    <n v="11461"/>
    <s v="Food"/>
    <x v="7"/>
    <s v="iPhone"/>
    <s v="Pending"/>
    <x v="5"/>
    <x v="1"/>
    <x v="8"/>
    <s v="Low"/>
    <n v="40"/>
  </r>
  <r>
    <s v="TXN1119"/>
    <s v="06-05-2025"/>
    <s v="07:13 AM"/>
    <s v="Baiju"/>
    <s v="Uber"/>
    <n v="4633"/>
    <s v="Transfer"/>
    <x v="5"/>
    <s v="iPhone"/>
    <s v="Failed"/>
    <x v="1"/>
    <x v="1"/>
    <x v="17"/>
    <s v="Low"/>
    <n v="30"/>
  </r>
  <r>
    <s v="TXN1120"/>
    <s v="26-01-2025"/>
    <s v="05:17 PM"/>
    <s v="Pranay"/>
    <s v="Amazon"/>
    <n v="6068"/>
    <s v="Recharge"/>
    <x v="1"/>
    <s v="Android"/>
    <s v="Failed"/>
    <x v="4"/>
    <x v="1"/>
    <x v="7"/>
    <s v="Low"/>
    <n v="30"/>
  </r>
  <r>
    <s v="TXN1121"/>
    <s v="24-01-2025"/>
    <s v="06:15 AM"/>
    <s v="Urvi"/>
    <s v="Amazon"/>
    <n v="10563"/>
    <s v="Travel"/>
    <x v="7"/>
    <s v="Android"/>
    <s v="Failed"/>
    <x v="6"/>
    <x v="1"/>
    <x v="1"/>
    <s v="Low"/>
    <n v="30"/>
  </r>
  <r>
    <s v="TXN1122"/>
    <s v="23-02-2025"/>
    <s v="01:50 PM"/>
    <s v="Kaira"/>
    <s v="Zomato"/>
    <n v="13371"/>
    <s v="Shopping"/>
    <x v="6"/>
    <s v="iPhone"/>
    <s v="Success"/>
    <x v="4"/>
    <x v="1"/>
    <x v="15"/>
    <s v="Low"/>
    <n v="10"/>
  </r>
  <r>
    <s v="TXN1123"/>
    <s v="03-02-2025"/>
    <s v="11:55 AM"/>
    <s v="Zaina"/>
    <s v="Amazon"/>
    <n v="13132"/>
    <s v="Transfer"/>
    <x v="6"/>
    <s v="Android"/>
    <s v="Pending"/>
    <x v="6"/>
    <x v="1"/>
    <x v="4"/>
    <s v="Low"/>
    <n v="10"/>
  </r>
  <r>
    <s v="TXN1124"/>
    <s v="02-03-2025"/>
    <s v="11:08 AM"/>
    <s v="Siya"/>
    <s v="Zomato"/>
    <n v="308"/>
    <s v="Food"/>
    <x v="2"/>
    <s v="Android"/>
    <s v="Success"/>
    <x v="5"/>
    <x v="1"/>
    <x v="4"/>
    <s v="Low"/>
    <n v="10"/>
  </r>
  <r>
    <s v="TXN1125"/>
    <s v="02-05-2025"/>
    <s v="10:28 PM"/>
    <s v="Yakshit"/>
    <s v="Unknown"/>
    <n v="5981"/>
    <s v="Bills"/>
    <x v="1"/>
    <s v="Android"/>
    <s v="Success"/>
    <x v="5"/>
    <x v="1"/>
    <x v="19"/>
    <s v="Low"/>
    <n v="40"/>
  </r>
  <r>
    <s v="TXN1126"/>
    <s v="14-05-2025"/>
    <s v="06:54 AM"/>
    <s v="Vritika"/>
    <s v="Amazon"/>
    <n v="10590"/>
    <s v="Food"/>
    <x v="2"/>
    <s v="iPhone"/>
    <s v="Failed"/>
    <x v="5"/>
    <x v="1"/>
    <x v="1"/>
    <s v="Low"/>
    <n v="30"/>
  </r>
  <r>
    <s v="TXN1127"/>
    <s v="06-05-2025"/>
    <s v="08:38 AM"/>
    <s v="Heer"/>
    <s v="Amazon"/>
    <n v="7317"/>
    <s v="Transfer"/>
    <x v="7"/>
    <s v="Android"/>
    <s v="Failed"/>
    <x v="1"/>
    <x v="1"/>
    <x v="16"/>
    <s v="Low"/>
    <n v="30"/>
  </r>
  <r>
    <s v="TXN1128"/>
    <s v="09-06-2025"/>
    <s v="04:33 PM"/>
    <s v="Elakshi"/>
    <s v="Flipkart"/>
    <n v="9034"/>
    <s v="Travel"/>
    <x v="4"/>
    <s v="iPhone"/>
    <s v="Pending"/>
    <x v="0"/>
    <x v="1"/>
    <x v="5"/>
    <s v="Low"/>
    <n v="10"/>
  </r>
  <r>
    <s v="TXN1129"/>
    <s v="21-04-2025"/>
    <s v="11:27 PM"/>
    <s v="Miraan"/>
    <s v="Unknown"/>
    <n v="34996"/>
    <s v="Transfer"/>
    <x v="5"/>
    <s v="Android"/>
    <s v="Success"/>
    <x v="3"/>
    <x v="0"/>
    <x v="21"/>
    <s v="High"/>
    <n v="80"/>
  </r>
  <r>
    <s v="TXN1130"/>
    <s v="27-04-2025"/>
    <s v="09:20 AM"/>
    <s v="Aayush"/>
    <s v="Zomato"/>
    <n v="12003"/>
    <s v="Bills"/>
    <x v="4"/>
    <s v="iPhone"/>
    <s v="Failed"/>
    <x v="1"/>
    <x v="1"/>
    <x v="2"/>
    <s v="Low"/>
    <n v="30"/>
  </r>
  <r>
    <s v="TXN1131"/>
    <s v="02-05-2025"/>
    <s v="12:06 AM"/>
    <s v="Hiran"/>
    <s v="Unknown"/>
    <n v="31188"/>
    <s v="Food"/>
    <x v="3"/>
    <s v="Android"/>
    <s v="Failed"/>
    <x v="0"/>
    <x v="0"/>
    <x v="13"/>
    <s v="High"/>
    <n v="115"/>
  </r>
  <r>
    <s v="TXN1132"/>
    <s v="31-05-2025"/>
    <s v="04:26 PM"/>
    <s v="Eshani"/>
    <s v="Uber"/>
    <n v="9252"/>
    <s v="Bills"/>
    <x v="3"/>
    <s v="iPhone"/>
    <s v="Success"/>
    <x v="4"/>
    <x v="1"/>
    <x v="5"/>
    <s v="Low"/>
    <n v="10"/>
  </r>
  <r>
    <s v="TXN1133"/>
    <s v="14-01-2025"/>
    <s v="03:36 PM"/>
    <s v="Aarna"/>
    <s v="Zomato"/>
    <n v="9887"/>
    <s v="Recharge"/>
    <x v="1"/>
    <s v="Android"/>
    <s v="Success"/>
    <x v="5"/>
    <x v="1"/>
    <x v="10"/>
    <s v="Low"/>
    <n v="10"/>
  </r>
  <r>
    <s v="TXN1134"/>
    <s v="27-02-2025"/>
    <s v="05:36 PM"/>
    <s v="Seher"/>
    <s v="Amazon"/>
    <n v="5786"/>
    <s v="Travel"/>
    <x v="1"/>
    <s v="iPhone"/>
    <s v="Failed"/>
    <x v="4"/>
    <x v="1"/>
    <x v="7"/>
    <s v="Low"/>
    <n v="30"/>
  </r>
  <r>
    <s v="TXN1135"/>
    <s v="09-06-2025"/>
    <s v="06:53 AM"/>
    <s v="Jayant"/>
    <s v="Unknown"/>
    <n v="10579"/>
    <s v="Transfer"/>
    <x v="4"/>
    <s v="Android"/>
    <s v="Pending"/>
    <x v="1"/>
    <x v="1"/>
    <x v="1"/>
    <s v="Low"/>
    <n v="40"/>
  </r>
  <r>
    <s v="TXN1136"/>
    <s v="29-06-2025"/>
    <s v="05:55 PM"/>
    <s v="Darshit"/>
    <s v="Amazon"/>
    <n v="5617"/>
    <s v="Shopping"/>
    <x v="7"/>
    <s v="iPhone"/>
    <s v="Success"/>
    <x v="6"/>
    <x v="1"/>
    <x v="7"/>
    <s v="Low"/>
    <n v="10"/>
  </r>
  <r>
    <s v="TXN1137"/>
    <s v="12-06-2025"/>
    <s v="10:26 PM"/>
    <s v="Shayak"/>
    <s v="Swiggy"/>
    <n v="1553"/>
    <s v="Transfer"/>
    <x v="5"/>
    <s v="iPhone"/>
    <s v="Failed"/>
    <x v="1"/>
    <x v="1"/>
    <x v="19"/>
    <s v="Low"/>
    <n v="30"/>
  </r>
  <r>
    <s v="TXN1138"/>
    <s v="21-03-2025"/>
    <s v="08:10 AM"/>
    <s v="Parinaaz"/>
    <s v="Amazon"/>
    <n v="12777"/>
    <s v="Recharge"/>
    <x v="6"/>
    <s v="Android"/>
    <s v="Success"/>
    <x v="2"/>
    <x v="1"/>
    <x v="16"/>
    <s v="Low"/>
    <n v="10"/>
  </r>
  <r>
    <s v="TXN1139"/>
    <s v="19-06-2025"/>
    <s v="08:13 PM"/>
    <s v="Onkar"/>
    <s v="Flipkart"/>
    <n v="9996"/>
    <s v="Food"/>
    <x v="0"/>
    <s v="iPhone"/>
    <s v="Failed"/>
    <x v="3"/>
    <x v="1"/>
    <x v="6"/>
    <s v="Low"/>
    <n v="30"/>
  </r>
  <r>
    <s v="TXN1140"/>
    <s v="14-03-2025"/>
    <s v="09:19 PM"/>
    <s v="Biju"/>
    <s v="Unknown"/>
    <n v="9767"/>
    <s v="Travel"/>
    <x v="6"/>
    <s v="Android"/>
    <s v="Pending"/>
    <x v="3"/>
    <x v="1"/>
    <x v="14"/>
    <s v="Low"/>
    <n v="40"/>
  </r>
  <r>
    <s v="TXN1141"/>
    <s v="15-01-2025"/>
    <s v="01:48 AM"/>
    <s v="Badal"/>
    <s v="Unknown"/>
    <n v="59507"/>
    <s v="Food"/>
    <x v="4"/>
    <s v="iPhone"/>
    <s v="Success"/>
    <x v="2"/>
    <x v="0"/>
    <x v="0"/>
    <s v="High"/>
    <n v="95"/>
  </r>
  <r>
    <s v="TXN1142"/>
    <s v="02-01-2025"/>
    <s v="11:34 AM"/>
    <s v="Zaina"/>
    <s v="Swiggy"/>
    <n v="7105"/>
    <s v="Recharge"/>
    <x v="1"/>
    <s v="iPhone"/>
    <s v="Failed"/>
    <x v="6"/>
    <x v="1"/>
    <x v="4"/>
    <s v="Low"/>
    <n v="30"/>
  </r>
  <r>
    <s v="TXN1143"/>
    <s v="11-01-2025"/>
    <s v="08:36 AM"/>
    <s v="Anay"/>
    <s v="Myntra"/>
    <n v="7582"/>
    <s v="Bills"/>
    <x v="2"/>
    <s v="iPhone"/>
    <s v="Failed"/>
    <x v="5"/>
    <x v="1"/>
    <x v="16"/>
    <s v="Low"/>
    <n v="30"/>
  </r>
  <r>
    <s v="TXN1144"/>
    <s v="17-04-2025"/>
    <s v="06:51 AM"/>
    <s v="Jayant"/>
    <s v="Zomato"/>
    <n v="6686"/>
    <s v="Recharge"/>
    <x v="5"/>
    <s v="iPhone"/>
    <s v="Success"/>
    <x v="6"/>
    <x v="1"/>
    <x v="1"/>
    <s v="Low"/>
    <n v="10"/>
  </r>
  <r>
    <s v="TXN1145"/>
    <s v="28-01-2025"/>
    <s v="06:25 PM"/>
    <s v="Advika"/>
    <s v="Unknown"/>
    <n v="9698"/>
    <s v="Transfer"/>
    <x v="4"/>
    <s v="iPhone"/>
    <s v="Success"/>
    <x v="1"/>
    <x v="1"/>
    <x v="20"/>
    <s v="Low"/>
    <n v="40"/>
  </r>
  <r>
    <s v="TXN1146"/>
    <s v="13-02-2025"/>
    <s v="11:57 PM"/>
    <s v="Arnav"/>
    <s v="Unknown"/>
    <n v="34945"/>
    <s v="Bills"/>
    <x v="3"/>
    <s v="iPhone"/>
    <s v="Success"/>
    <x v="5"/>
    <x v="0"/>
    <x v="21"/>
    <s v="High"/>
    <n v="80"/>
  </r>
  <r>
    <s v="TXN1147"/>
    <s v="07-02-2025"/>
    <s v="02:38 PM"/>
    <s v="Vedika"/>
    <s v="Swiggy"/>
    <n v="2449"/>
    <s v="Bills"/>
    <x v="7"/>
    <s v="Android"/>
    <s v="Success"/>
    <x v="1"/>
    <x v="1"/>
    <x v="9"/>
    <s v="Low"/>
    <n v="10"/>
  </r>
  <r>
    <s v="TXN1148"/>
    <s v="07-05-2025"/>
    <s v="08:41 PM"/>
    <s v="Trisha"/>
    <s v="Uber"/>
    <n v="9286"/>
    <s v="Recharge"/>
    <x v="3"/>
    <s v="iPhone"/>
    <s v="Pending"/>
    <x v="1"/>
    <x v="1"/>
    <x v="6"/>
    <s v="Low"/>
    <n v="10"/>
  </r>
  <r>
    <s v="TXN1149"/>
    <s v="18-01-2025"/>
    <s v="03:37 PM"/>
    <s v="Yakshit"/>
    <s v="Myntra"/>
    <n v="10394"/>
    <s v="Food"/>
    <x v="6"/>
    <s v="iPhone"/>
    <s v="Failed"/>
    <x v="0"/>
    <x v="1"/>
    <x v="10"/>
    <s v="Low"/>
    <n v="30"/>
  </r>
  <r>
    <s v="TXN1150"/>
    <s v="21-03-2025"/>
    <s v="07:04 AM"/>
    <s v="Dhruv"/>
    <s v="Zomato"/>
    <n v="666"/>
    <s v="Travel"/>
    <x v="0"/>
    <s v="iPhone"/>
    <s v="Failed"/>
    <x v="3"/>
    <x v="1"/>
    <x v="17"/>
    <s v="Low"/>
    <n v="30"/>
  </r>
  <r>
    <s v="TXN1151"/>
    <s v="22-05-2025"/>
    <s v="07:41 AM"/>
    <s v="Ivan"/>
    <s v="Flipkart"/>
    <n v="12156"/>
    <s v="Recharge"/>
    <x v="1"/>
    <s v="iPhone"/>
    <s v="Pending"/>
    <x v="0"/>
    <x v="1"/>
    <x v="17"/>
    <s v="Low"/>
    <n v="10"/>
  </r>
  <r>
    <s v="TXN1152"/>
    <s v="09-05-2025"/>
    <s v="08:45 PM"/>
    <s v="Zara"/>
    <s v="Amazon"/>
    <n v="1063"/>
    <s v="Shopping"/>
    <x v="0"/>
    <s v="Android"/>
    <s v="Failed"/>
    <x v="6"/>
    <x v="1"/>
    <x v="6"/>
    <s v="Low"/>
    <n v="30"/>
  </r>
  <r>
    <s v="TXN1153"/>
    <s v="23-04-2025"/>
    <s v="10:23 PM"/>
    <s v="Ojas"/>
    <s v="Unknown"/>
    <n v="8636"/>
    <s v="Recharge"/>
    <x v="3"/>
    <s v="iPhone"/>
    <s v="Success"/>
    <x v="3"/>
    <x v="1"/>
    <x v="19"/>
    <s v="Low"/>
    <n v="40"/>
  </r>
  <r>
    <s v="TXN1154"/>
    <s v="28-03-2025"/>
    <s v="04:06 PM"/>
    <s v="Yuvaan"/>
    <s v="Amazon"/>
    <n v="907"/>
    <s v="Bills"/>
    <x v="2"/>
    <s v="iPhone"/>
    <s v="Failed"/>
    <x v="2"/>
    <x v="1"/>
    <x v="5"/>
    <s v="Low"/>
    <n v="30"/>
  </r>
  <r>
    <s v="TXN1155"/>
    <s v="18-06-2025"/>
    <s v="10:37 AM"/>
    <s v="Alia"/>
    <s v="Zomato"/>
    <n v="9924"/>
    <s v="Bills"/>
    <x v="7"/>
    <s v="iPhone"/>
    <s v="Success"/>
    <x v="2"/>
    <x v="1"/>
    <x v="11"/>
    <s v="Low"/>
    <n v="10"/>
  </r>
  <r>
    <s v="TXN1156"/>
    <s v="28-06-2025"/>
    <s v="08:24 AM"/>
    <s v="Ivan"/>
    <s v="Zomato"/>
    <n v="2162"/>
    <s v="Bills"/>
    <x v="3"/>
    <s v="Android"/>
    <s v="Pending"/>
    <x v="5"/>
    <x v="1"/>
    <x v="16"/>
    <s v="Low"/>
    <n v="10"/>
  </r>
  <r>
    <s v="TXN1157"/>
    <s v="25-06-2025"/>
    <s v="07:01 PM"/>
    <s v="Keya"/>
    <s v="Unknown"/>
    <n v="1581"/>
    <s v="Shopping"/>
    <x v="3"/>
    <s v="iPhone"/>
    <s v="Failed"/>
    <x v="1"/>
    <x v="1"/>
    <x v="8"/>
    <s v="Low"/>
    <n v="60"/>
  </r>
  <r>
    <s v="TXN1158"/>
    <s v="29-03-2025"/>
    <s v="12:09 PM"/>
    <s v="Hiran"/>
    <s v="Swiggy"/>
    <n v="8017"/>
    <s v="Food"/>
    <x v="0"/>
    <s v="iPhone"/>
    <s v="Success"/>
    <x v="4"/>
    <x v="1"/>
    <x v="12"/>
    <s v="Low"/>
    <n v="10"/>
  </r>
  <r>
    <s v="TXN1159"/>
    <s v="10-05-2025"/>
    <s v="10:21 PM"/>
    <s v="Tushar"/>
    <s v="Amazon"/>
    <n v="13732"/>
    <s v="Shopping"/>
    <x v="7"/>
    <s v="iPhone"/>
    <s v="Pending"/>
    <x v="1"/>
    <x v="1"/>
    <x v="19"/>
    <s v="Low"/>
    <n v="10"/>
  </r>
  <r>
    <s v="TXN1160"/>
    <s v="16-02-2025"/>
    <s v="11:02 AM"/>
    <s v="Taran"/>
    <s v="Uber"/>
    <n v="12683"/>
    <s v="Bills"/>
    <x v="2"/>
    <s v="iPhone"/>
    <s v="Failed"/>
    <x v="5"/>
    <x v="1"/>
    <x v="4"/>
    <s v="Low"/>
    <n v="30"/>
  </r>
  <r>
    <s v="TXN1161"/>
    <s v="02-03-2025"/>
    <s v="03:50 PM"/>
    <s v="Misha"/>
    <s v="Myntra"/>
    <n v="10053"/>
    <s v="Shopping"/>
    <x v="5"/>
    <s v="Android"/>
    <s v="Pending"/>
    <x v="0"/>
    <x v="1"/>
    <x v="10"/>
    <s v="Low"/>
    <n v="10"/>
  </r>
  <r>
    <s v="TXN1162"/>
    <s v="21-03-2025"/>
    <s v="09:23 PM"/>
    <s v="Ahana "/>
    <s v="Myntra"/>
    <n v="12901"/>
    <s v="Transfer"/>
    <x v="5"/>
    <s v="iPhone"/>
    <s v="Success"/>
    <x v="4"/>
    <x v="1"/>
    <x v="14"/>
    <s v="Low"/>
    <n v="10"/>
  </r>
  <r>
    <s v="TXN1163"/>
    <s v="08-04-2025"/>
    <s v="11:51 AM"/>
    <s v="Keya"/>
    <s v="Myntra"/>
    <n v="6909"/>
    <s v="Bills"/>
    <x v="7"/>
    <s v="iPhone"/>
    <s v="Success"/>
    <x v="6"/>
    <x v="1"/>
    <x v="4"/>
    <s v="Low"/>
    <n v="10"/>
  </r>
  <r>
    <s v="TXN1164"/>
    <s v="04-05-2025"/>
    <s v="09:54 AM"/>
    <s v="Piya"/>
    <s v="Uber"/>
    <n v="9135"/>
    <s v="Shopping"/>
    <x v="0"/>
    <s v="iPhone"/>
    <s v="Pending"/>
    <x v="6"/>
    <x v="1"/>
    <x v="2"/>
    <s v="Low"/>
    <n v="10"/>
  </r>
  <r>
    <s v="TXN1165"/>
    <s v="11-03-2025"/>
    <s v="10:05 AM"/>
    <s v="Samaira"/>
    <s v="Myntra"/>
    <n v="8460"/>
    <s v="Food"/>
    <x v="1"/>
    <s v="iPhone"/>
    <s v="Failed"/>
    <x v="2"/>
    <x v="1"/>
    <x v="11"/>
    <s v="Low"/>
    <n v="30"/>
  </r>
  <r>
    <s v="TXN1166"/>
    <s v="17-04-2025"/>
    <s v="02:24 AM"/>
    <s v="Shray"/>
    <s v="Unknown"/>
    <n v="85799"/>
    <s v="Food"/>
    <x v="0"/>
    <s v="iPhone"/>
    <s v="Success"/>
    <x v="1"/>
    <x v="0"/>
    <x v="3"/>
    <s v="High"/>
    <n v="95"/>
  </r>
  <r>
    <s v="TXN1167"/>
    <s v="23-03-2025"/>
    <s v="04:08 PM"/>
    <s v="Biju"/>
    <s v="Myntra"/>
    <n v="13799"/>
    <s v="Recharge"/>
    <x v="6"/>
    <s v="iPhone"/>
    <s v="Success"/>
    <x v="4"/>
    <x v="1"/>
    <x v="5"/>
    <s v="Low"/>
    <n v="10"/>
  </r>
  <r>
    <s v="TXN1168"/>
    <s v="28-06-2025"/>
    <s v="09:00 PM"/>
    <s v="Ivana"/>
    <s v="Flipkart"/>
    <n v="12482"/>
    <s v="Shopping"/>
    <x v="0"/>
    <s v="Android"/>
    <s v="Pending"/>
    <x v="2"/>
    <x v="1"/>
    <x v="14"/>
    <s v="Low"/>
    <n v="10"/>
  </r>
  <r>
    <s v="TXN1169"/>
    <s v="08-02-2025"/>
    <s v="10:49 PM"/>
    <s v="Zaina"/>
    <s v="Flipkart"/>
    <n v="11965"/>
    <s v="Food"/>
    <x v="4"/>
    <s v="Android"/>
    <s v="Success"/>
    <x v="2"/>
    <x v="1"/>
    <x v="19"/>
    <s v="Low"/>
    <n v="10"/>
  </r>
  <r>
    <s v="TXN1170"/>
    <s v="13-01-2025"/>
    <s v="08:53 PM"/>
    <s v="Tejas"/>
    <s v="Amazon"/>
    <n v="10518"/>
    <s v="Travel"/>
    <x v="5"/>
    <s v="Android"/>
    <s v="Success"/>
    <x v="5"/>
    <x v="1"/>
    <x v="6"/>
    <s v="Low"/>
    <n v="10"/>
  </r>
  <r>
    <s v="TXN1171"/>
    <s v="28-05-2025"/>
    <s v="03:39 PM"/>
    <s v="Jhanvi"/>
    <s v="Flipkart"/>
    <n v="2402"/>
    <s v="Recharge"/>
    <x v="3"/>
    <s v="Android"/>
    <s v="Success"/>
    <x v="0"/>
    <x v="1"/>
    <x v="10"/>
    <s v="Low"/>
    <n v="10"/>
  </r>
  <r>
    <s v="TXN1172"/>
    <s v="17-02-2025"/>
    <s v="10:33 PM"/>
    <s v="Nitya"/>
    <s v="Zomato"/>
    <n v="1452"/>
    <s v="Recharge"/>
    <x v="6"/>
    <s v="iPhone"/>
    <s v="Success"/>
    <x v="4"/>
    <x v="1"/>
    <x v="19"/>
    <s v="Low"/>
    <n v="10"/>
  </r>
  <r>
    <s v="TXN1173"/>
    <s v="12-01-2025"/>
    <s v="02:22 PM"/>
    <s v="Navya"/>
    <s v="Uber"/>
    <n v="6166"/>
    <s v="Bills"/>
    <x v="0"/>
    <s v="iPhone"/>
    <s v="Success"/>
    <x v="1"/>
    <x v="1"/>
    <x v="9"/>
    <s v="Low"/>
    <n v="10"/>
  </r>
  <r>
    <s v="TXN1174"/>
    <s v="18-06-2025"/>
    <s v="04:22 PM"/>
    <s v="Ira"/>
    <s v="Swiggy"/>
    <n v="12690"/>
    <s v="Bills"/>
    <x v="3"/>
    <s v="Android"/>
    <s v="Success"/>
    <x v="4"/>
    <x v="1"/>
    <x v="5"/>
    <s v="Low"/>
    <n v="10"/>
  </r>
  <r>
    <s v="TXN1175"/>
    <s v="29-04-2025"/>
    <s v="11:04 AM"/>
    <s v="Shalv"/>
    <s v="Myntra"/>
    <n v="7890"/>
    <s v="Shopping"/>
    <x v="5"/>
    <s v="Android"/>
    <s v="Success"/>
    <x v="2"/>
    <x v="1"/>
    <x v="4"/>
    <s v="Low"/>
    <n v="10"/>
  </r>
  <r>
    <s v="TXN1176"/>
    <s v="12-01-2025"/>
    <s v="07:32 AM"/>
    <s v="Heer"/>
    <s v="Zomato"/>
    <n v="14562"/>
    <s v="Food"/>
    <x v="2"/>
    <s v="iPhone"/>
    <s v="Failed"/>
    <x v="2"/>
    <x v="1"/>
    <x v="17"/>
    <s v="Low"/>
    <n v="30"/>
  </r>
  <r>
    <s v="TXN1177"/>
    <s v="15-06-2025"/>
    <s v="07:21 AM"/>
    <s v="Uthkarsh"/>
    <s v="Myntra"/>
    <n v="5898"/>
    <s v="Transfer"/>
    <x v="4"/>
    <s v="Android"/>
    <s v="Pending"/>
    <x v="4"/>
    <x v="1"/>
    <x v="17"/>
    <s v="Low"/>
    <n v="10"/>
  </r>
  <r>
    <s v="TXN1178"/>
    <s v="22-04-2025"/>
    <s v="08:11 PM"/>
    <s v="Vaibhav"/>
    <s v="Flipkart"/>
    <n v="12228"/>
    <s v="Travel"/>
    <x v="5"/>
    <s v="iPhone"/>
    <s v="Failed"/>
    <x v="2"/>
    <x v="1"/>
    <x v="6"/>
    <s v="Low"/>
    <n v="30"/>
  </r>
  <r>
    <s v="TXN1179"/>
    <s v="10-03-2025"/>
    <s v="07:38 PM"/>
    <s v="Divyansh"/>
    <s v="Amazon"/>
    <n v="11962"/>
    <s v="Food"/>
    <x v="7"/>
    <s v="iPhone"/>
    <s v="Failed"/>
    <x v="2"/>
    <x v="1"/>
    <x v="8"/>
    <s v="Low"/>
    <n v="30"/>
  </r>
  <r>
    <s v="TXN1180"/>
    <s v="21-01-2025"/>
    <s v="03:45 PM"/>
    <s v="Adira"/>
    <s v="Flipkart"/>
    <n v="4893"/>
    <s v="Recharge"/>
    <x v="2"/>
    <s v="Android"/>
    <s v="Pending"/>
    <x v="5"/>
    <x v="1"/>
    <x v="10"/>
    <s v="Low"/>
    <n v="10"/>
  </r>
  <r>
    <s v="TXN1181"/>
    <s v="31-03-2025"/>
    <s v="05:17 PM"/>
    <s v="Siya"/>
    <s v="Unknown"/>
    <n v="11958"/>
    <s v="Bills"/>
    <x v="6"/>
    <s v="Android"/>
    <s v="Failed"/>
    <x v="5"/>
    <x v="1"/>
    <x v="7"/>
    <s v="Low"/>
    <n v="60"/>
  </r>
  <r>
    <s v="TXN1182"/>
    <s v="14-04-2025"/>
    <s v="11:54 AM"/>
    <s v="Rasha"/>
    <s v="Amazon"/>
    <n v="13175"/>
    <s v="Food"/>
    <x v="5"/>
    <s v="Android"/>
    <s v="Success"/>
    <x v="1"/>
    <x v="1"/>
    <x v="4"/>
    <s v="Low"/>
    <n v="10"/>
  </r>
  <r>
    <s v="TXN1183"/>
    <s v="02-03-2025"/>
    <s v="05:02 PM"/>
    <s v="Nishith"/>
    <s v="Flipkart"/>
    <n v="6051"/>
    <s v="Transfer"/>
    <x v="7"/>
    <s v="iPhone"/>
    <s v="Pending"/>
    <x v="2"/>
    <x v="1"/>
    <x v="7"/>
    <s v="Low"/>
    <n v="10"/>
  </r>
  <r>
    <s v="TXN1184"/>
    <s v="24-04-2025"/>
    <s v="10:25 AM"/>
    <s v="Dishani"/>
    <s v="Unknown"/>
    <n v="9453"/>
    <s v="Food"/>
    <x v="3"/>
    <s v="iPhone"/>
    <s v="Failed"/>
    <x v="1"/>
    <x v="1"/>
    <x v="11"/>
    <s v="Low"/>
    <n v="60"/>
  </r>
  <r>
    <s v="TXN1185"/>
    <s v="07-01-2025"/>
    <s v="10:07 PM"/>
    <s v="Lagan"/>
    <s v="Flipkart"/>
    <n v="8226"/>
    <s v="Recharge"/>
    <x v="4"/>
    <s v="iPhone"/>
    <s v="Pending"/>
    <x v="5"/>
    <x v="1"/>
    <x v="19"/>
    <s v="Low"/>
    <n v="10"/>
  </r>
  <r>
    <s v="TXN1186"/>
    <s v="24-02-2025"/>
    <s v="09:08 PM"/>
    <s v="Lakshit"/>
    <s v="Swiggy"/>
    <n v="4728"/>
    <s v="Bills"/>
    <x v="0"/>
    <s v="iPhone"/>
    <s v="Success"/>
    <x v="1"/>
    <x v="1"/>
    <x v="14"/>
    <s v="Low"/>
    <n v="10"/>
  </r>
  <r>
    <s v="TXN1187"/>
    <s v="24-04-2025"/>
    <s v="04:45 PM"/>
    <s v="Yakshit"/>
    <s v="Uber"/>
    <n v="13329"/>
    <s v="Shopping"/>
    <x v="0"/>
    <s v="iPhone"/>
    <s v="Failed"/>
    <x v="2"/>
    <x v="1"/>
    <x v="5"/>
    <s v="Low"/>
    <n v="30"/>
  </r>
  <r>
    <s v="TXN1188"/>
    <s v="29-06-2025"/>
    <s v="05:07 PM"/>
    <s v="Emir"/>
    <s v="Unknown"/>
    <n v="13053"/>
    <s v="Recharge"/>
    <x v="1"/>
    <s v="Android"/>
    <s v="Success"/>
    <x v="1"/>
    <x v="1"/>
    <x v="7"/>
    <s v="Low"/>
    <n v="40"/>
  </r>
  <r>
    <s v="TXN1189"/>
    <s v="07-01-2025"/>
    <s v="05:08 PM"/>
    <s v="Gatik"/>
    <s v="Flipkart"/>
    <n v="9426"/>
    <s v="Recharge"/>
    <x v="0"/>
    <s v="Android"/>
    <s v="Pending"/>
    <x v="2"/>
    <x v="1"/>
    <x v="7"/>
    <s v="Low"/>
    <n v="10"/>
  </r>
  <r>
    <s v="TXN1190"/>
    <s v="03-05-2025"/>
    <s v="07:04 PM"/>
    <s v="Nitya"/>
    <s v="Myntra"/>
    <n v="12651"/>
    <s v="Food"/>
    <x v="7"/>
    <s v="iPhone"/>
    <s v="Pending"/>
    <x v="5"/>
    <x v="1"/>
    <x v="8"/>
    <s v="Low"/>
    <n v="10"/>
  </r>
  <r>
    <s v="TXN1191"/>
    <s v="26-04-2025"/>
    <s v="05:40 PM"/>
    <s v="Azad"/>
    <s v="Swiggy"/>
    <n v="8526"/>
    <s v="Travel"/>
    <x v="7"/>
    <s v="Android"/>
    <s v="Pending"/>
    <x v="3"/>
    <x v="1"/>
    <x v="7"/>
    <s v="Low"/>
    <n v="10"/>
  </r>
  <r>
    <s v="TXN1192"/>
    <s v="15-01-2025"/>
    <s v="10:10 AM"/>
    <s v="Shlok"/>
    <s v="Zomato"/>
    <n v="8538"/>
    <s v="Travel"/>
    <x v="3"/>
    <s v="Android"/>
    <s v="Success"/>
    <x v="2"/>
    <x v="1"/>
    <x v="11"/>
    <s v="Low"/>
    <n v="10"/>
  </r>
  <r>
    <s v="TXN1193"/>
    <s v="14-03-2025"/>
    <s v="12:17 PM"/>
    <s v="Samarth"/>
    <s v="Uber"/>
    <n v="4155"/>
    <s v="Travel"/>
    <x v="7"/>
    <s v="iPhone"/>
    <s v="Pending"/>
    <x v="0"/>
    <x v="1"/>
    <x v="12"/>
    <s v="Low"/>
    <n v="10"/>
  </r>
  <r>
    <s v="TXN1194"/>
    <s v="24-01-2025"/>
    <s v="10:39 AM"/>
    <s v="Sahil"/>
    <s v="Swiggy"/>
    <n v="2812"/>
    <s v="Food"/>
    <x v="3"/>
    <s v="Android"/>
    <s v="Pending"/>
    <x v="4"/>
    <x v="1"/>
    <x v="11"/>
    <s v="Low"/>
    <n v="10"/>
  </r>
  <r>
    <s v="TXN1195"/>
    <s v="21-01-2025"/>
    <s v="01:39 AM"/>
    <s v="Dhanuk"/>
    <s v="Unknown"/>
    <n v="54688"/>
    <s v="Travel"/>
    <x v="6"/>
    <s v="iPhone"/>
    <s v="Failed"/>
    <x v="5"/>
    <x v="0"/>
    <x v="0"/>
    <s v="High"/>
    <n v="115"/>
  </r>
  <r>
    <s v="TXN1196"/>
    <s v="16-03-2025"/>
    <s v="09:25 PM"/>
    <s v="Shamik"/>
    <s v="Swiggy"/>
    <n v="4999"/>
    <s v="Bills"/>
    <x v="4"/>
    <s v="iPhone"/>
    <s v="Pending"/>
    <x v="6"/>
    <x v="1"/>
    <x v="14"/>
    <s v="Low"/>
    <n v="10"/>
  </r>
  <r>
    <s v="TXN1197"/>
    <s v="16-01-2025"/>
    <s v="09:21 PM"/>
    <s v="Nishith"/>
    <s v="Flipkart"/>
    <n v="6859"/>
    <s v="Bills"/>
    <x v="7"/>
    <s v="iPhone"/>
    <s v="Success"/>
    <x v="4"/>
    <x v="1"/>
    <x v="14"/>
    <s v="Low"/>
    <n v="10"/>
  </r>
  <r>
    <s v="TXN1198"/>
    <s v="23-03-2025"/>
    <s v="05:48 PM"/>
    <s v="Shray"/>
    <s v="Flipkart"/>
    <n v="14152"/>
    <s v="Shopping"/>
    <x v="3"/>
    <s v="Android"/>
    <s v="Success"/>
    <x v="2"/>
    <x v="1"/>
    <x v="7"/>
    <s v="Low"/>
    <n v="10"/>
  </r>
  <r>
    <s v="TXN1199"/>
    <s v="30-04-2025"/>
    <s v="01:06 AM"/>
    <s v="Emir"/>
    <s v="Unknown"/>
    <n v="78929"/>
    <s v="Travel"/>
    <x v="6"/>
    <s v="iPhone"/>
    <s v="Success"/>
    <x v="3"/>
    <x v="0"/>
    <x v="0"/>
    <s v="High"/>
    <n v="95"/>
  </r>
  <r>
    <s v="TXN1200"/>
    <s v="18-04-2025"/>
    <s v="11:59 AM"/>
    <s v="Nirvi"/>
    <s v="Myntra"/>
    <n v="14227"/>
    <s v="Shopping"/>
    <x v="3"/>
    <s v="Android"/>
    <s v="Failed"/>
    <x v="4"/>
    <x v="1"/>
    <x v="4"/>
    <s v="Low"/>
    <n v="30"/>
  </r>
  <r>
    <s v="TXN1201"/>
    <s v="08-05-2025"/>
    <s v="09:01 PM"/>
    <s v="Veer"/>
    <s v="Zomato"/>
    <n v="7698"/>
    <s v="Recharge"/>
    <x v="0"/>
    <s v="iPhone"/>
    <s v="Failed"/>
    <x v="0"/>
    <x v="1"/>
    <x v="14"/>
    <s v="Low"/>
    <n v="30"/>
  </r>
  <r>
    <s v="TXN1202"/>
    <s v="03-03-2025"/>
    <s v="07:31 AM"/>
    <s v="Zeeshan"/>
    <s v="Amazon"/>
    <n v="5831"/>
    <s v="Food"/>
    <x v="5"/>
    <s v="iPhone"/>
    <s v="Failed"/>
    <x v="0"/>
    <x v="1"/>
    <x v="17"/>
    <s v="Low"/>
    <n v="30"/>
  </r>
  <r>
    <s v="TXN1203"/>
    <s v="28-01-2025"/>
    <s v="02:48 PM"/>
    <s v="Indrajit"/>
    <s v="Uber"/>
    <n v="14508"/>
    <s v="Recharge"/>
    <x v="2"/>
    <s v="iPhone"/>
    <s v="Failed"/>
    <x v="6"/>
    <x v="1"/>
    <x v="9"/>
    <s v="Low"/>
    <n v="30"/>
  </r>
  <r>
    <s v="TXN1204"/>
    <s v="14-01-2025"/>
    <s v="05:04 PM"/>
    <s v="Shanaya"/>
    <s v="Unknown"/>
    <n v="3239"/>
    <s v="Travel"/>
    <x v="2"/>
    <s v="iPhone"/>
    <s v="Failed"/>
    <x v="4"/>
    <x v="1"/>
    <x v="7"/>
    <s v="Low"/>
    <n v="60"/>
  </r>
  <r>
    <s v="TXN1205"/>
    <s v="13-03-2025"/>
    <s v="09:25 AM"/>
    <s v="Umang"/>
    <s v="Swiggy"/>
    <n v="10261"/>
    <s v="Transfer"/>
    <x v="3"/>
    <s v="iPhone"/>
    <s v="Success"/>
    <x v="0"/>
    <x v="1"/>
    <x v="2"/>
    <s v="Low"/>
    <n v="10"/>
  </r>
  <r>
    <s v="TXN1206"/>
    <s v="06-02-2025"/>
    <s v="06:02 PM"/>
    <s v="Bhavin"/>
    <s v="Unknown"/>
    <n v="8391"/>
    <s v="Transfer"/>
    <x v="6"/>
    <s v="Android"/>
    <s v="Success"/>
    <x v="5"/>
    <x v="1"/>
    <x v="20"/>
    <s v="Low"/>
    <n v="40"/>
  </r>
  <r>
    <s v="TXN1207"/>
    <s v="02-05-2025"/>
    <s v="10:59 PM"/>
    <s v="Anika"/>
    <s v="Swiggy"/>
    <n v="2490"/>
    <s v="Travel"/>
    <x v="3"/>
    <s v="Android"/>
    <s v="Failed"/>
    <x v="3"/>
    <x v="1"/>
    <x v="19"/>
    <s v="Low"/>
    <n v="30"/>
  </r>
  <r>
    <s v="TXN1208"/>
    <s v="18-03-2025"/>
    <s v="10:45 PM"/>
    <s v="Baiju"/>
    <s v="Unknown"/>
    <n v="8361"/>
    <s v="Food"/>
    <x v="4"/>
    <s v="iPhone"/>
    <s v="Failed"/>
    <x v="4"/>
    <x v="1"/>
    <x v="19"/>
    <s v="Low"/>
    <n v="60"/>
  </r>
  <r>
    <s v="TXN1209"/>
    <s v="05-04-2025"/>
    <s v="07:50 PM"/>
    <s v="Jayesh"/>
    <s v="Unknown"/>
    <n v="1845"/>
    <s v="Bills"/>
    <x v="6"/>
    <s v="iPhone"/>
    <s v="Failed"/>
    <x v="2"/>
    <x v="1"/>
    <x v="8"/>
    <s v="Low"/>
    <n v="60"/>
  </r>
  <r>
    <s v="TXN1210"/>
    <s v="29-05-2025"/>
    <s v="07:10 AM"/>
    <s v="Aniruddh"/>
    <s v="Unknown"/>
    <n v="11869"/>
    <s v="Bills"/>
    <x v="2"/>
    <s v="Android"/>
    <s v="Failed"/>
    <x v="4"/>
    <x v="1"/>
    <x v="17"/>
    <s v="Low"/>
    <n v="60"/>
  </r>
  <r>
    <s v="TXN1211"/>
    <s v="04-03-2025"/>
    <s v="01:28 AM"/>
    <s v="Vidur"/>
    <s v="Unknown"/>
    <n v="34404"/>
    <s v="Recharge"/>
    <x v="3"/>
    <s v="iPhone"/>
    <s v="Success"/>
    <x v="1"/>
    <x v="0"/>
    <x v="0"/>
    <s v="High"/>
    <n v="95"/>
  </r>
  <r>
    <s v="TXN1212"/>
    <s v="26-06-2025"/>
    <s v="09:46 PM"/>
    <s v="Indrans"/>
    <s v="Myntra"/>
    <n v="8271"/>
    <s v="Shopping"/>
    <x v="6"/>
    <s v="Android"/>
    <s v="Pending"/>
    <x v="0"/>
    <x v="1"/>
    <x v="14"/>
    <s v="Low"/>
    <n v="10"/>
  </r>
  <r>
    <s v="TXN1213"/>
    <s v="24-05-2025"/>
    <s v="09:20 PM"/>
    <s v="Rohan"/>
    <s v="Unknown"/>
    <n v="10899"/>
    <s v="Transfer"/>
    <x v="7"/>
    <s v="iPhone"/>
    <s v="Failed"/>
    <x v="0"/>
    <x v="1"/>
    <x v="14"/>
    <s v="Low"/>
    <n v="60"/>
  </r>
  <r>
    <s v="TXN1214"/>
    <s v="20-05-2025"/>
    <s v="02:12 PM"/>
    <s v="Nirvi"/>
    <s v="Unknown"/>
    <n v="12698"/>
    <s v="Transfer"/>
    <x v="1"/>
    <s v="iPhone"/>
    <s v="Failed"/>
    <x v="0"/>
    <x v="1"/>
    <x v="9"/>
    <s v="Low"/>
    <n v="60"/>
  </r>
  <r>
    <s v="TXN1215"/>
    <s v="27-02-2025"/>
    <s v="03:44 PM"/>
    <s v="Tiya"/>
    <s v="Uber"/>
    <n v="4926"/>
    <s v="Transfer"/>
    <x v="5"/>
    <s v="iPhone"/>
    <s v="Success"/>
    <x v="3"/>
    <x v="1"/>
    <x v="10"/>
    <s v="Low"/>
    <n v="10"/>
  </r>
  <r>
    <s v="TXN1216"/>
    <s v="24-05-2025"/>
    <s v="02:36 PM"/>
    <s v="Emir"/>
    <s v="Zomato"/>
    <n v="13081"/>
    <s v="Transfer"/>
    <x v="2"/>
    <s v="iPhone"/>
    <s v="Success"/>
    <x v="4"/>
    <x v="1"/>
    <x v="9"/>
    <s v="Low"/>
    <n v="10"/>
  </r>
  <r>
    <s v="TXN1217"/>
    <s v="07-02-2025"/>
    <s v="08:41 AM"/>
    <s v="Myra"/>
    <s v="Zomato"/>
    <n v="4762"/>
    <s v="Shopping"/>
    <x v="4"/>
    <s v="iPhone"/>
    <s v="Failed"/>
    <x v="1"/>
    <x v="1"/>
    <x v="16"/>
    <s v="Low"/>
    <n v="30"/>
  </r>
  <r>
    <s v="TXN1218"/>
    <s v="18-05-2025"/>
    <s v="02:39 PM"/>
    <s v="Dhanuk"/>
    <s v="Swiggy"/>
    <n v="9258"/>
    <s v="Bills"/>
    <x v="1"/>
    <s v="Android"/>
    <s v="Success"/>
    <x v="6"/>
    <x v="1"/>
    <x v="9"/>
    <s v="Low"/>
    <n v="10"/>
  </r>
  <r>
    <s v="TXN1219"/>
    <s v="16-05-2025"/>
    <s v="07:21 AM"/>
    <s v="Azad"/>
    <s v="Amazon"/>
    <n v="3864"/>
    <s v="Shopping"/>
    <x v="5"/>
    <s v="Android"/>
    <s v="Failed"/>
    <x v="5"/>
    <x v="1"/>
    <x v="17"/>
    <s v="Low"/>
    <n v="30"/>
  </r>
  <r>
    <s v="TXN1220"/>
    <s v="02-01-2025"/>
    <s v="07:30 PM"/>
    <s v="Jiya"/>
    <s v="Uber"/>
    <n v="2637"/>
    <s v="Transfer"/>
    <x v="1"/>
    <s v="iPhone"/>
    <s v="Failed"/>
    <x v="2"/>
    <x v="1"/>
    <x v="8"/>
    <s v="Low"/>
    <n v="30"/>
  </r>
  <r>
    <s v="TXN1221"/>
    <s v="15-06-2025"/>
    <s v="11:34 PM"/>
    <s v="Amani"/>
    <s v="Unknown"/>
    <n v="31725"/>
    <s v="Shopping"/>
    <x v="6"/>
    <s v="Android"/>
    <s v="Success"/>
    <x v="3"/>
    <x v="0"/>
    <x v="21"/>
    <s v="High"/>
    <n v="80"/>
  </r>
  <r>
    <s v="TXN1222"/>
    <s v="10-01-2025"/>
    <s v="09:55 PM"/>
    <s v="Aaina"/>
    <s v="Swiggy"/>
    <n v="6554"/>
    <s v="Transfer"/>
    <x v="4"/>
    <s v="Android"/>
    <s v="Pending"/>
    <x v="6"/>
    <x v="1"/>
    <x v="14"/>
    <s v="Low"/>
    <n v="10"/>
  </r>
  <r>
    <s v="TXN1223"/>
    <s v="26-05-2025"/>
    <s v="03:34 PM"/>
    <s v="Tara"/>
    <s v="Flipkart"/>
    <n v="5539"/>
    <s v="Travel"/>
    <x v="5"/>
    <s v="Android"/>
    <s v="Pending"/>
    <x v="4"/>
    <x v="1"/>
    <x v="10"/>
    <s v="Low"/>
    <n v="10"/>
  </r>
  <r>
    <s v="TXN1224"/>
    <s v="30-04-2025"/>
    <s v="09:46 AM"/>
    <s v="Veer"/>
    <s v="Zomato"/>
    <n v="13301"/>
    <s v="Shopping"/>
    <x v="5"/>
    <s v="iPhone"/>
    <s v="Success"/>
    <x v="5"/>
    <x v="1"/>
    <x v="2"/>
    <s v="Low"/>
    <n v="10"/>
  </r>
  <r>
    <s v="TXN1225"/>
    <s v="04-01-2025"/>
    <s v="03:48 PM"/>
    <s v="Ayesha"/>
    <s v="Unknown"/>
    <n v="13005"/>
    <s v="Bills"/>
    <x v="1"/>
    <s v="Android"/>
    <s v="Pending"/>
    <x v="0"/>
    <x v="1"/>
    <x v="10"/>
    <s v="Low"/>
    <n v="40"/>
  </r>
  <r>
    <s v="TXN1226"/>
    <s v="14-04-2025"/>
    <s v="04:42 PM"/>
    <s v="Krish"/>
    <s v="Amazon"/>
    <n v="8492"/>
    <s v="Recharge"/>
    <x v="0"/>
    <s v="Android"/>
    <s v="Failed"/>
    <x v="1"/>
    <x v="1"/>
    <x v="5"/>
    <s v="Low"/>
    <n v="30"/>
  </r>
  <r>
    <s v="TXN1227"/>
    <s v="24-03-2025"/>
    <s v="02:28 PM"/>
    <s v="Ayesha"/>
    <s v="Flipkart"/>
    <n v="161"/>
    <s v="Travel"/>
    <x v="4"/>
    <s v="iPhone"/>
    <s v="Success"/>
    <x v="2"/>
    <x v="1"/>
    <x v="9"/>
    <s v="Low"/>
    <n v="10"/>
  </r>
  <r>
    <s v="TXN1228"/>
    <s v="27-05-2025"/>
    <s v="01:42 AM"/>
    <s v="Miraya"/>
    <s v="Unknown"/>
    <n v="67127"/>
    <s v="Shopping"/>
    <x v="0"/>
    <s v="iPhone"/>
    <s v="Success"/>
    <x v="2"/>
    <x v="0"/>
    <x v="0"/>
    <s v="High"/>
    <n v="95"/>
  </r>
  <r>
    <s v="TXN1229"/>
    <s v="14-04-2025"/>
    <s v="03:40 PM"/>
    <s v="Shayak"/>
    <s v="Uber"/>
    <n v="14715"/>
    <s v="Shopping"/>
    <x v="4"/>
    <s v="iPhone"/>
    <s v="Success"/>
    <x v="0"/>
    <x v="1"/>
    <x v="10"/>
    <s v="Low"/>
    <n v="10"/>
  </r>
  <r>
    <s v="TXN1230"/>
    <s v="26-02-2025"/>
    <s v="10:38 AM"/>
    <s v="Indrajit"/>
    <s v="Flipkart"/>
    <n v="7884"/>
    <s v="Travel"/>
    <x v="3"/>
    <s v="iPhone"/>
    <s v="Pending"/>
    <x v="5"/>
    <x v="1"/>
    <x v="11"/>
    <s v="Low"/>
    <n v="10"/>
  </r>
  <r>
    <s v="TXN1231"/>
    <s v="01-05-2025"/>
    <s v="12:43 PM"/>
    <s v="Drishya"/>
    <s v="Myntra"/>
    <n v="13189"/>
    <s v="Bills"/>
    <x v="0"/>
    <s v="iPhone"/>
    <s v="Success"/>
    <x v="0"/>
    <x v="1"/>
    <x v="12"/>
    <s v="Low"/>
    <n v="10"/>
  </r>
  <r>
    <s v="TXN1232"/>
    <s v="03-04-2025"/>
    <s v="12:36 AM"/>
    <s v="Gokul"/>
    <s v="Unknown"/>
    <n v="34707"/>
    <s v="Travel"/>
    <x v="7"/>
    <s v="Android"/>
    <s v="Success"/>
    <x v="2"/>
    <x v="0"/>
    <x v="13"/>
    <s v="High"/>
    <n v="95"/>
  </r>
  <r>
    <s v="TXN1233"/>
    <s v="24-04-2025"/>
    <s v="11:05 PM"/>
    <s v="Zaina"/>
    <s v="Unknown"/>
    <n v="46922"/>
    <s v="Shopping"/>
    <x v="5"/>
    <s v="Android"/>
    <s v="Failed"/>
    <x v="3"/>
    <x v="0"/>
    <x v="21"/>
    <s v="High"/>
    <n v="100"/>
  </r>
  <r>
    <s v="TXN1234"/>
    <s v="12-05-2025"/>
    <s v="07:43 AM"/>
    <s v="Uthkarsh"/>
    <s v="Unknown"/>
    <n v="9289"/>
    <s v="Transfer"/>
    <x v="4"/>
    <s v="Android"/>
    <s v="Failed"/>
    <x v="3"/>
    <x v="1"/>
    <x v="17"/>
    <s v="Low"/>
    <n v="60"/>
  </r>
  <r>
    <s v="TXN1235"/>
    <s v="01-01-2025"/>
    <s v="08:22 AM"/>
    <s v="Nirvaan"/>
    <s v="Amazon"/>
    <n v="9525"/>
    <s v="Recharge"/>
    <x v="0"/>
    <s v="Android"/>
    <s v="Failed"/>
    <x v="6"/>
    <x v="1"/>
    <x v="16"/>
    <s v="Low"/>
    <n v="30"/>
  </r>
  <r>
    <s v="TXN1236"/>
    <s v="09-01-2025"/>
    <s v="10:46 AM"/>
    <s v="Anahi"/>
    <s v="Myntra"/>
    <n v="2998"/>
    <s v="Recharge"/>
    <x v="2"/>
    <s v="iPhone"/>
    <s v="Pending"/>
    <x v="3"/>
    <x v="1"/>
    <x v="11"/>
    <s v="Low"/>
    <n v="10"/>
  </r>
  <r>
    <s v="TXN1237"/>
    <s v="07-04-2025"/>
    <s v="10:07 AM"/>
    <s v="Lagan"/>
    <s v="Uber"/>
    <n v="11235"/>
    <s v="Shopping"/>
    <x v="7"/>
    <s v="iPhone"/>
    <s v="Failed"/>
    <x v="0"/>
    <x v="1"/>
    <x v="11"/>
    <s v="Low"/>
    <n v="30"/>
  </r>
  <r>
    <s v="TXN1238"/>
    <s v="27-02-2025"/>
    <s v="06:43 AM"/>
    <s v="Dharmajan"/>
    <s v="Zomato"/>
    <n v="12439"/>
    <s v="Shopping"/>
    <x v="2"/>
    <s v="iPhone"/>
    <s v="Failed"/>
    <x v="4"/>
    <x v="1"/>
    <x v="1"/>
    <s v="Low"/>
    <n v="30"/>
  </r>
  <r>
    <s v="TXN1239"/>
    <s v="05-03-2025"/>
    <s v="02:48 PM"/>
    <s v="Ela"/>
    <s v="Swiggy"/>
    <n v="2591"/>
    <s v="Bills"/>
    <x v="0"/>
    <s v="Android"/>
    <s v="Pending"/>
    <x v="4"/>
    <x v="1"/>
    <x v="9"/>
    <s v="Low"/>
    <n v="10"/>
  </r>
  <r>
    <s v="TXN1240"/>
    <s v="18-04-2025"/>
    <s v="06:04 AM"/>
    <s v="Ishita"/>
    <s v="Swiggy"/>
    <n v="14529"/>
    <s v="Travel"/>
    <x v="0"/>
    <s v="Android"/>
    <s v="Success"/>
    <x v="3"/>
    <x v="1"/>
    <x v="1"/>
    <s v="Low"/>
    <n v="10"/>
  </r>
  <r>
    <s v="TXN1241"/>
    <s v="22-06-2025"/>
    <s v="01:25 PM"/>
    <s v="Zain"/>
    <s v="Uber"/>
    <n v="847"/>
    <s v="Shopping"/>
    <x v="5"/>
    <s v="Android"/>
    <s v="Success"/>
    <x v="0"/>
    <x v="1"/>
    <x v="15"/>
    <s v="Low"/>
    <n v="10"/>
  </r>
  <r>
    <s v="TXN1242"/>
    <s v="15-01-2025"/>
    <s v="01:36 AM"/>
    <s v="Taimur"/>
    <s v="Unknown"/>
    <n v="57914"/>
    <s v="Shopping"/>
    <x v="3"/>
    <s v="Android"/>
    <s v="Failed"/>
    <x v="2"/>
    <x v="0"/>
    <x v="0"/>
    <s v="High"/>
    <n v="115"/>
  </r>
  <r>
    <s v="TXN1243"/>
    <s v="19-06-2025"/>
    <s v="03:35 PM"/>
    <s v="Rohan"/>
    <s v="Zomato"/>
    <n v="6825"/>
    <s v="Recharge"/>
    <x v="7"/>
    <s v="iPhone"/>
    <s v="Success"/>
    <x v="0"/>
    <x v="1"/>
    <x v="10"/>
    <s v="Low"/>
    <n v="10"/>
  </r>
  <r>
    <s v="TXN1244"/>
    <s v="13-01-2025"/>
    <s v="06:20 PM"/>
    <s v="Nirvi"/>
    <s v="Myntra"/>
    <n v="10590"/>
    <s v="Transfer"/>
    <x v="2"/>
    <s v="iPhone"/>
    <s v="Pending"/>
    <x v="1"/>
    <x v="1"/>
    <x v="20"/>
    <s v="Low"/>
    <n v="10"/>
  </r>
  <r>
    <s v="TXN1245"/>
    <s v="07-04-2025"/>
    <s v="09:19 PM"/>
    <s v="Abram"/>
    <s v="Swiggy"/>
    <n v="8863"/>
    <s v="Travel"/>
    <x v="7"/>
    <s v="iPhone"/>
    <s v="Success"/>
    <x v="6"/>
    <x v="1"/>
    <x v="14"/>
    <s v="Low"/>
    <n v="10"/>
  </r>
  <r>
    <s v="TXN1246"/>
    <s v="16-04-2025"/>
    <s v="10:15 PM"/>
    <s v="Krish"/>
    <s v="Swiggy"/>
    <n v="9180"/>
    <s v="Bills"/>
    <x v="4"/>
    <s v="Android"/>
    <s v="Failed"/>
    <x v="2"/>
    <x v="1"/>
    <x v="19"/>
    <s v="Low"/>
    <n v="30"/>
  </r>
  <r>
    <s v="TXN1247"/>
    <s v="21-01-2025"/>
    <s v="05:46 PM"/>
    <s v="Kavya"/>
    <s v="Amazon"/>
    <n v="13929"/>
    <s v="Recharge"/>
    <x v="1"/>
    <s v="Android"/>
    <s v="Pending"/>
    <x v="2"/>
    <x v="1"/>
    <x v="7"/>
    <s v="Low"/>
    <n v="10"/>
  </r>
  <r>
    <s v="TXN1248"/>
    <s v="22-06-2025"/>
    <s v="08:46 AM"/>
    <s v="Adah"/>
    <s v="Swiggy"/>
    <n v="697"/>
    <s v="Transfer"/>
    <x v="1"/>
    <s v="iPhone"/>
    <s v="Pending"/>
    <x v="1"/>
    <x v="1"/>
    <x v="16"/>
    <s v="Low"/>
    <n v="10"/>
  </r>
  <r>
    <s v="TXN1249"/>
    <s v="19-03-2025"/>
    <s v="12:07 PM"/>
    <s v="Adah"/>
    <s v="Swiggy"/>
    <n v="301"/>
    <s v="Travel"/>
    <x v="5"/>
    <s v="Android"/>
    <s v="Pending"/>
    <x v="5"/>
    <x v="1"/>
    <x v="12"/>
    <s v="Low"/>
    <n v="10"/>
  </r>
  <r>
    <s v="TXN1250"/>
    <s v="30-06-2025"/>
    <s v="04:24 PM"/>
    <s v="Tiya"/>
    <s v="Myntra"/>
    <n v="3971"/>
    <s v="Transfer"/>
    <x v="5"/>
    <s v="iPhone"/>
    <s v="Failed"/>
    <x v="2"/>
    <x v="1"/>
    <x v="5"/>
    <s v="Low"/>
    <n v="30"/>
  </r>
  <r>
    <s v="TXN1251"/>
    <s v="03-04-2025"/>
    <s v="08:30 PM"/>
    <s v="Manikya"/>
    <s v="Amazon"/>
    <n v="8197"/>
    <s v="Transfer"/>
    <x v="3"/>
    <s v="Android"/>
    <s v="Pending"/>
    <x v="2"/>
    <x v="1"/>
    <x v="6"/>
    <s v="Low"/>
    <n v="10"/>
  </r>
  <r>
    <s v="TXN1252"/>
    <s v="16-04-2025"/>
    <s v="01:16 AM"/>
    <s v="Neelofar"/>
    <s v="Unknown"/>
    <n v="49002"/>
    <s v="Shopping"/>
    <x v="2"/>
    <s v="iPhone"/>
    <s v="Success"/>
    <x v="1"/>
    <x v="0"/>
    <x v="0"/>
    <s v="High"/>
    <n v="95"/>
  </r>
  <r>
    <s v="TXN1253"/>
    <s v="26-03-2025"/>
    <s v="01:41 PM"/>
    <s v="Yakshit"/>
    <s v="Flipkart"/>
    <n v="9385"/>
    <s v="Recharge"/>
    <x v="3"/>
    <s v="iPhone"/>
    <s v="Pending"/>
    <x v="4"/>
    <x v="1"/>
    <x v="15"/>
    <s v="Low"/>
    <n v="10"/>
  </r>
  <r>
    <s v="TXN1254"/>
    <s v="14-06-2025"/>
    <s v="11:10 AM"/>
    <s v="Miraya"/>
    <s v="Uber"/>
    <n v="7600"/>
    <s v="Travel"/>
    <x v="7"/>
    <s v="iPhone"/>
    <s v="Failed"/>
    <x v="1"/>
    <x v="1"/>
    <x v="4"/>
    <s v="Low"/>
    <n v="30"/>
  </r>
  <r>
    <s v="TXN1255"/>
    <s v="14-06-2025"/>
    <s v="07:52 AM"/>
    <s v="Mohanlal"/>
    <s v="Myntra"/>
    <n v="8634"/>
    <s v="Shopping"/>
    <x v="6"/>
    <s v="Android"/>
    <s v="Success"/>
    <x v="3"/>
    <x v="1"/>
    <x v="17"/>
    <s v="Low"/>
    <n v="10"/>
  </r>
  <r>
    <s v="TXN1256"/>
    <s v="11-06-2025"/>
    <s v="10:32 AM"/>
    <s v="Vivaan"/>
    <s v="Amazon"/>
    <n v="11636"/>
    <s v="Travel"/>
    <x v="5"/>
    <s v="iPhone"/>
    <s v="Success"/>
    <x v="6"/>
    <x v="1"/>
    <x v="11"/>
    <s v="Low"/>
    <n v="10"/>
  </r>
  <r>
    <s v="TXN1257"/>
    <s v="13-06-2025"/>
    <s v="09:01 PM"/>
    <s v="Indranil"/>
    <s v="Uber"/>
    <n v="10151"/>
    <s v="Food"/>
    <x v="6"/>
    <s v="iPhone"/>
    <s v="Failed"/>
    <x v="6"/>
    <x v="1"/>
    <x v="14"/>
    <s v="Low"/>
    <n v="30"/>
  </r>
  <r>
    <s v="TXN1258"/>
    <s v="16-05-2025"/>
    <s v="03:52 PM"/>
    <s v="Dhanuk"/>
    <s v="Amazon"/>
    <n v="8827"/>
    <s v="Food"/>
    <x v="2"/>
    <s v="Android"/>
    <s v="Pending"/>
    <x v="6"/>
    <x v="1"/>
    <x v="10"/>
    <s v="Low"/>
    <n v="10"/>
  </r>
  <r>
    <s v="TXN1259"/>
    <s v="15-05-2025"/>
    <s v="11:52 PM"/>
    <s v="Mamooty"/>
    <s v="Unknown"/>
    <n v="45156"/>
    <s v="Recharge"/>
    <x v="3"/>
    <s v="iPhone"/>
    <s v="Failed"/>
    <x v="4"/>
    <x v="0"/>
    <x v="21"/>
    <s v="High"/>
    <n v="100"/>
  </r>
  <r>
    <s v="TXN1260"/>
    <s v="21-01-2025"/>
    <s v="08:44 PM"/>
    <s v="Khushi"/>
    <s v="Unknown"/>
    <n v="6702"/>
    <s v="Food"/>
    <x v="1"/>
    <s v="iPhone"/>
    <s v="Success"/>
    <x v="5"/>
    <x v="1"/>
    <x v="6"/>
    <s v="Low"/>
    <n v="40"/>
  </r>
  <r>
    <s v="TXN1261"/>
    <s v="17-06-2025"/>
    <s v="07:24 AM"/>
    <s v="Myra"/>
    <s v="Amazon"/>
    <n v="10697"/>
    <s v="Bills"/>
    <x v="2"/>
    <s v="iPhone"/>
    <s v="Failed"/>
    <x v="6"/>
    <x v="1"/>
    <x v="17"/>
    <s v="Low"/>
    <n v="30"/>
  </r>
  <r>
    <s v="TXN1262"/>
    <s v="03-01-2025"/>
    <s v="09:41 PM"/>
    <s v="Adira"/>
    <s v="Myntra"/>
    <n v="1404"/>
    <s v="Food"/>
    <x v="3"/>
    <s v="Android"/>
    <s v="Failed"/>
    <x v="0"/>
    <x v="1"/>
    <x v="14"/>
    <s v="Low"/>
    <n v="30"/>
  </r>
  <r>
    <s v="TXN1263"/>
    <s v="28-02-2025"/>
    <s v="09:59 PM"/>
    <s v="Vanya"/>
    <s v="Zomato"/>
    <n v="14273"/>
    <s v="Travel"/>
    <x v="0"/>
    <s v="iPhone"/>
    <s v="Success"/>
    <x v="0"/>
    <x v="1"/>
    <x v="14"/>
    <s v="Low"/>
    <n v="10"/>
  </r>
  <r>
    <s v="TXN1264"/>
    <s v="18-06-2025"/>
    <s v="12:37 AM"/>
    <s v="Indrans"/>
    <s v="Unknown"/>
    <n v="61220"/>
    <s v="Transfer"/>
    <x v="7"/>
    <s v="iPhone"/>
    <s v="Success"/>
    <x v="6"/>
    <x v="0"/>
    <x v="13"/>
    <s v="High"/>
    <n v="95"/>
  </r>
  <r>
    <s v="TXN1265"/>
    <s v="11-02-2025"/>
    <s v="06:21 PM"/>
    <s v="Fateh"/>
    <s v="Uber"/>
    <n v="9334"/>
    <s v="Bills"/>
    <x v="2"/>
    <s v="Android"/>
    <s v="Pending"/>
    <x v="4"/>
    <x v="1"/>
    <x v="20"/>
    <s v="Low"/>
    <n v="10"/>
  </r>
  <r>
    <s v="TXN1266"/>
    <s v="21-01-2025"/>
    <s v="07:14 AM"/>
    <s v="Mahika"/>
    <s v="Amazon"/>
    <n v="5716"/>
    <s v="Travel"/>
    <x v="0"/>
    <s v="iPhone"/>
    <s v="Failed"/>
    <x v="0"/>
    <x v="1"/>
    <x v="17"/>
    <s v="Low"/>
    <n v="30"/>
  </r>
  <r>
    <s v="TXN1267"/>
    <s v="02-06-2025"/>
    <s v="04:17 PM"/>
    <s v="Drishya"/>
    <s v="Amazon"/>
    <n v="12723"/>
    <s v="Transfer"/>
    <x v="5"/>
    <s v="iPhone"/>
    <s v="Pending"/>
    <x v="1"/>
    <x v="1"/>
    <x v="5"/>
    <s v="Low"/>
    <n v="10"/>
  </r>
  <r>
    <s v="TXN1268"/>
    <s v="22-05-2025"/>
    <s v="11:42 AM"/>
    <s v="Saanvi"/>
    <s v="Uber"/>
    <n v="7125"/>
    <s v="Travel"/>
    <x v="2"/>
    <s v="Android"/>
    <s v="Pending"/>
    <x v="4"/>
    <x v="1"/>
    <x v="4"/>
    <s v="Low"/>
    <n v="10"/>
  </r>
  <r>
    <s v="TXN1269"/>
    <s v="17-03-2025"/>
    <s v="08:09 AM"/>
    <s v="Jayesh"/>
    <s v="Amazon"/>
    <n v="11733"/>
    <s v="Recharge"/>
    <x v="2"/>
    <s v="Android"/>
    <s v="Failed"/>
    <x v="5"/>
    <x v="1"/>
    <x v="16"/>
    <s v="Low"/>
    <n v="30"/>
  </r>
  <r>
    <s v="TXN1270"/>
    <s v="23-03-2025"/>
    <s v="06:23 AM"/>
    <s v="Indranil"/>
    <s v="Zomato"/>
    <n v="1549"/>
    <s v="Food"/>
    <x v="4"/>
    <s v="Android"/>
    <s v="Failed"/>
    <x v="1"/>
    <x v="1"/>
    <x v="1"/>
    <s v="Low"/>
    <n v="30"/>
  </r>
  <r>
    <s v="TXN1271"/>
    <s v="17-02-2025"/>
    <s v="10:01 PM"/>
    <s v="Rania"/>
    <s v="Flipkart"/>
    <n v="9175"/>
    <s v="Food"/>
    <x v="0"/>
    <s v="iPhone"/>
    <s v="Success"/>
    <x v="0"/>
    <x v="1"/>
    <x v="19"/>
    <s v="Low"/>
    <n v="10"/>
  </r>
  <r>
    <s v="TXN1272"/>
    <s v="02-06-2025"/>
    <s v="06:26 PM"/>
    <s v="Divit"/>
    <s v="Amazon"/>
    <n v="5365"/>
    <s v="Travel"/>
    <x v="2"/>
    <s v="Android"/>
    <s v="Failed"/>
    <x v="5"/>
    <x v="1"/>
    <x v="20"/>
    <s v="Low"/>
    <n v="30"/>
  </r>
  <r>
    <s v="TXN1273"/>
    <s v="04-03-2025"/>
    <s v="06:17 PM"/>
    <s v="Sana"/>
    <s v="Swiggy"/>
    <n v="2828"/>
    <s v="Shopping"/>
    <x v="4"/>
    <s v="iPhone"/>
    <s v="Success"/>
    <x v="3"/>
    <x v="1"/>
    <x v="20"/>
    <s v="Low"/>
    <n v="10"/>
  </r>
  <r>
    <s v="TXN1274"/>
    <s v="17-01-2025"/>
    <s v="07:50 PM"/>
    <s v="Nakul"/>
    <s v="Zomato"/>
    <n v="4571"/>
    <s v="Shopping"/>
    <x v="0"/>
    <s v="iPhone"/>
    <s v="Failed"/>
    <x v="2"/>
    <x v="1"/>
    <x v="8"/>
    <s v="Low"/>
    <n v="30"/>
  </r>
  <r>
    <s v="TXN1275"/>
    <s v="10-06-2025"/>
    <s v="12:08 PM"/>
    <s v="Kiara"/>
    <s v="Flipkart"/>
    <n v="10153"/>
    <s v="Transfer"/>
    <x v="4"/>
    <s v="Android"/>
    <s v="Success"/>
    <x v="3"/>
    <x v="1"/>
    <x v="12"/>
    <s v="Low"/>
    <n v="10"/>
  </r>
  <r>
    <s v="TXN1276"/>
    <s v="08-06-2025"/>
    <s v="04:27 PM"/>
    <s v="Kanav"/>
    <s v="Flipkart"/>
    <n v="14176"/>
    <s v="Travel"/>
    <x v="7"/>
    <s v="iPhone"/>
    <s v="Failed"/>
    <x v="2"/>
    <x v="1"/>
    <x v="5"/>
    <s v="Low"/>
    <n v="30"/>
  </r>
  <r>
    <s v="TXN1277"/>
    <s v="27-06-2025"/>
    <s v="11:18 AM"/>
    <s v="Manjari"/>
    <s v="Flipkart"/>
    <n v="5197"/>
    <s v="Recharge"/>
    <x v="5"/>
    <s v="Android"/>
    <s v="Failed"/>
    <x v="2"/>
    <x v="1"/>
    <x v="4"/>
    <s v="Low"/>
    <n v="30"/>
  </r>
  <r>
    <s v="TXN1278"/>
    <s v="13-03-2025"/>
    <s v="05:12 PM"/>
    <s v="Lakshit"/>
    <s v="Amazon"/>
    <n v="6487"/>
    <s v="Recharge"/>
    <x v="7"/>
    <s v="Android"/>
    <s v="Pending"/>
    <x v="5"/>
    <x v="1"/>
    <x v="7"/>
    <s v="Low"/>
    <n v="10"/>
  </r>
  <r>
    <s v="TXN1279"/>
    <s v="23-02-2025"/>
    <s v="08:43 AM"/>
    <s v="Rhea"/>
    <s v="Myntra"/>
    <n v="4823"/>
    <s v="Transfer"/>
    <x v="5"/>
    <s v="Android"/>
    <s v="Failed"/>
    <x v="5"/>
    <x v="1"/>
    <x v="16"/>
    <s v="Low"/>
    <n v="30"/>
  </r>
  <r>
    <s v="TXN1280"/>
    <s v="03-03-2025"/>
    <s v="07:04 PM"/>
    <s v="Bhamini"/>
    <s v="Myntra"/>
    <n v="2575"/>
    <s v="Recharge"/>
    <x v="5"/>
    <s v="iPhone"/>
    <s v="Failed"/>
    <x v="0"/>
    <x v="1"/>
    <x v="8"/>
    <s v="Low"/>
    <n v="30"/>
  </r>
  <r>
    <s v="TXN1281"/>
    <s v="17-05-2025"/>
    <s v="07:50 PM"/>
    <s v="Zain"/>
    <s v="Unknown"/>
    <n v="14298"/>
    <s v="Shopping"/>
    <x v="3"/>
    <s v="Android"/>
    <s v="Success"/>
    <x v="6"/>
    <x v="1"/>
    <x v="8"/>
    <s v="Low"/>
    <n v="40"/>
  </r>
  <r>
    <s v="TXN1282"/>
    <s v="18-06-2025"/>
    <s v="07:43 AM"/>
    <s v="Renee"/>
    <s v="Unknown"/>
    <n v="2775"/>
    <s v="Recharge"/>
    <x v="2"/>
    <s v="iPhone"/>
    <s v="Pending"/>
    <x v="4"/>
    <x v="1"/>
    <x v="17"/>
    <s v="Low"/>
    <n v="40"/>
  </r>
  <r>
    <s v="TXN1283"/>
    <s v="28-01-2025"/>
    <s v="01:28 AM"/>
    <s v="Suhana"/>
    <s v="Unknown"/>
    <n v="53913"/>
    <s v="Bills"/>
    <x v="3"/>
    <s v="iPhone"/>
    <s v="Success"/>
    <x v="3"/>
    <x v="0"/>
    <x v="0"/>
    <s v="High"/>
    <n v="95"/>
  </r>
  <r>
    <s v="TXN1284"/>
    <s v="31-05-2025"/>
    <s v="05:06 PM"/>
    <s v="Purab"/>
    <s v="Amazon"/>
    <n v="2519"/>
    <s v="Food"/>
    <x v="4"/>
    <s v="iPhone"/>
    <s v="Failed"/>
    <x v="6"/>
    <x v="1"/>
    <x v="7"/>
    <s v="Low"/>
    <n v="30"/>
  </r>
  <r>
    <s v="TXN1285"/>
    <s v="06-02-2025"/>
    <s v="08:33 PM"/>
    <s v="Inaaya "/>
    <s v="Myntra"/>
    <n v="5670"/>
    <s v="Food"/>
    <x v="5"/>
    <s v="iPhone"/>
    <s v="Success"/>
    <x v="3"/>
    <x v="1"/>
    <x v="6"/>
    <s v="Low"/>
    <n v="10"/>
  </r>
  <r>
    <s v="TXN1286"/>
    <s v="23-04-2025"/>
    <s v="04:02 PM"/>
    <s v="Nehmat"/>
    <s v="Amazon"/>
    <n v="7462"/>
    <s v="Transfer"/>
    <x v="0"/>
    <s v="Android"/>
    <s v="Failed"/>
    <x v="4"/>
    <x v="1"/>
    <x v="5"/>
    <s v="Low"/>
    <n v="30"/>
  </r>
  <r>
    <s v="TXN1287"/>
    <s v="15-06-2025"/>
    <s v="01:35 AM"/>
    <s v="Prisha"/>
    <s v="Unknown"/>
    <n v="41542"/>
    <s v="Recharge"/>
    <x v="7"/>
    <s v="iPhone"/>
    <s v="Success"/>
    <x v="0"/>
    <x v="0"/>
    <x v="0"/>
    <s v="High"/>
    <n v="95"/>
  </r>
  <r>
    <s v="TXN1288"/>
    <s v="29-04-2025"/>
    <s v="11:42 AM"/>
    <s v="Purab"/>
    <s v="Swiggy"/>
    <n v="6686"/>
    <s v="Bills"/>
    <x v="2"/>
    <s v="iPhone"/>
    <s v="Pending"/>
    <x v="6"/>
    <x v="1"/>
    <x v="4"/>
    <s v="Low"/>
    <n v="10"/>
  </r>
  <r>
    <s v="TXN1289"/>
    <s v="07-06-2025"/>
    <s v="07:45 PM"/>
    <s v="Madhav"/>
    <s v="Flipkart"/>
    <n v="7415"/>
    <s v="Bills"/>
    <x v="1"/>
    <s v="Android"/>
    <s v="Success"/>
    <x v="2"/>
    <x v="1"/>
    <x v="8"/>
    <s v="Low"/>
    <n v="10"/>
  </r>
  <r>
    <s v="TXN1290"/>
    <s v="17-01-2025"/>
    <s v="11:12 AM"/>
    <s v="Mishti"/>
    <s v="Zomato"/>
    <n v="13149"/>
    <s v="Bills"/>
    <x v="5"/>
    <s v="Android"/>
    <s v="Failed"/>
    <x v="2"/>
    <x v="1"/>
    <x v="4"/>
    <s v="Low"/>
    <n v="30"/>
  </r>
  <r>
    <s v="TXN1291"/>
    <s v="06-05-2025"/>
    <s v="04:39 PM"/>
    <s v="Damini"/>
    <s v="Unknown"/>
    <n v="10521"/>
    <s v="Transfer"/>
    <x v="2"/>
    <s v="Android"/>
    <s v="Failed"/>
    <x v="2"/>
    <x v="1"/>
    <x v="5"/>
    <s v="Low"/>
    <n v="60"/>
  </r>
  <r>
    <s v="TXN1292"/>
    <s v="28-04-2025"/>
    <s v="03:05 PM"/>
    <s v="Pranay"/>
    <s v="Unknown"/>
    <n v="13382"/>
    <s v="Shopping"/>
    <x v="7"/>
    <s v="iPhone"/>
    <s v="Pending"/>
    <x v="6"/>
    <x v="1"/>
    <x v="10"/>
    <s v="Low"/>
    <n v="40"/>
  </r>
  <r>
    <s v="TXN1293"/>
    <s v="20-03-2025"/>
    <s v="01:26 AM"/>
    <s v="Vedika"/>
    <s v="Unknown"/>
    <n v="68929"/>
    <s v="Shopping"/>
    <x v="7"/>
    <s v="iPhone"/>
    <s v="Failed"/>
    <x v="3"/>
    <x v="0"/>
    <x v="0"/>
    <s v="High"/>
    <n v="115"/>
  </r>
  <r>
    <s v="TXN1294"/>
    <s v="05-05-2025"/>
    <s v="11:31 AM"/>
    <s v="Sumer"/>
    <s v="Unknown"/>
    <n v="11411"/>
    <s v="Transfer"/>
    <x v="4"/>
    <s v="Android"/>
    <s v="Success"/>
    <x v="1"/>
    <x v="1"/>
    <x v="4"/>
    <s v="Low"/>
    <n v="40"/>
  </r>
  <r>
    <s v="TXN1295"/>
    <s v="26-04-2025"/>
    <s v="05:08 PM"/>
    <s v="Inaaya "/>
    <s v="Amazon"/>
    <n v="14230"/>
    <s v="Travel"/>
    <x v="1"/>
    <s v="iPhone"/>
    <s v="Failed"/>
    <x v="0"/>
    <x v="1"/>
    <x v="7"/>
    <s v="Low"/>
    <n v="30"/>
  </r>
  <r>
    <s v="TXN1296"/>
    <s v="17-06-2025"/>
    <s v="09:53 PM"/>
    <s v="Kimaya"/>
    <s v="Flipkart"/>
    <n v="11268"/>
    <s v="Food"/>
    <x v="5"/>
    <s v="iPhone"/>
    <s v="Pending"/>
    <x v="1"/>
    <x v="1"/>
    <x v="14"/>
    <s v="Low"/>
    <n v="10"/>
  </r>
  <r>
    <s v="TXN1297"/>
    <s v="25-05-2025"/>
    <s v="02:17 AM"/>
    <s v="Neysa"/>
    <s v="Unknown"/>
    <n v="48905"/>
    <s v="Recharge"/>
    <x v="1"/>
    <s v="iPhone"/>
    <s v="Success"/>
    <x v="1"/>
    <x v="0"/>
    <x v="3"/>
    <s v="High"/>
    <n v="95"/>
  </r>
  <r>
    <s v="TXN1298"/>
    <s v="25-05-2025"/>
    <s v="09:07 PM"/>
    <s v="Gokul"/>
    <s v="Unknown"/>
    <n v="12598"/>
    <s v="Travel"/>
    <x v="0"/>
    <s v="iPhone"/>
    <s v="Pending"/>
    <x v="4"/>
    <x v="1"/>
    <x v="14"/>
    <s v="Low"/>
    <n v="40"/>
  </r>
  <r>
    <s v="TXN1299"/>
    <s v="04-04-2025"/>
    <s v="07:28 AM"/>
    <s v="Emir"/>
    <s v="Myntra"/>
    <n v="12449"/>
    <s v="Bills"/>
    <x v="1"/>
    <s v="iPhone"/>
    <s v="Pending"/>
    <x v="6"/>
    <x v="1"/>
    <x v="17"/>
    <s v="Low"/>
    <n v="10"/>
  </r>
  <r>
    <s v="TXN1300"/>
    <s v="17-06-2025"/>
    <s v="07:22 AM"/>
    <s v="Nirvi"/>
    <s v="Flipkart"/>
    <n v="4927"/>
    <s v="Food"/>
    <x v="0"/>
    <s v="iPhone"/>
    <s v="Failed"/>
    <x v="4"/>
    <x v="1"/>
    <x v="17"/>
    <s v="Low"/>
    <n v="30"/>
  </r>
  <r>
    <s v="TXN1301"/>
    <s v="02-03-2025"/>
    <s v="05:39 PM"/>
    <s v="Vaibhav"/>
    <s v="Myntra"/>
    <n v="12135"/>
    <s v="Shopping"/>
    <x v="2"/>
    <s v="Android"/>
    <s v="Pending"/>
    <x v="0"/>
    <x v="1"/>
    <x v="7"/>
    <s v="Low"/>
    <n v="10"/>
  </r>
  <r>
    <s v="TXN1302"/>
    <s v="22-02-2025"/>
    <s v="07:34 AM"/>
    <s v="Lagan"/>
    <s v="Unknown"/>
    <n v="13246"/>
    <s v="Bills"/>
    <x v="4"/>
    <s v="Android"/>
    <s v="Failed"/>
    <x v="2"/>
    <x v="1"/>
    <x v="17"/>
    <s v="Low"/>
    <n v="60"/>
  </r>
  <r>
    <s v="TXN1303"/>
    <s v="16-03-2025"/>
    <s v="10:08 PM"/>
    <s v="Diya"/>
    <s v="Uber"/>
    <n v="4430"/>
    <s v="Bills"/>
    <x v="2"/>
    <s v="Android"/>
    <s v="Success"/>
    <x v="2"/>
    <x v="1"/>
    <x v="19"/>
    <s v="Low"/>
    <n v="10"/>
  </r>
  <r>
    <s v="TXN1304"/>
    <s v="02-02-2025"/>
    <s v="01:20 PM"/>
    <s v="Ira"/>
    <s v="Swiggy"/>
    <n v="2224"/>
    <s v="Shopping"/>
    <x v="1"/>
    <s v="iPhone"/>
    <s v="Pending"/>
    <x v="3"/>
    <x v="1"/>
    <x v="15"/>
    <s v="Low"/>
    <n v="10"/>
  </r>
  <r>
    <s v="TXN1305"/>
    <s v="28-05-2025"/>
    <s v="07:04 PM"/>
    <s v="Mishti"/>
    <s v="Flipkart"/>
    <n v="10336"/>
    <s v="Bills"/>
    <x v="0"/>
    <s v="iPhone"/>
    <s v="Failed"/>
    <x v="0"/>
    <x v="1"/>
    <x v="8"/>
    <s v="Low"/>
    <n v="30"/>
  </r>
  <r>
    <s v="TXN1306"/>
    <s v="13-03-2025"/>
    <s v="05:20 PM"/>
    <s v="Mehul"/>
    <s v="Flipkart"/>
    <n v="14423"/>
    <s v="Recharge"/>
    <x v="6"/>
    <s v="Android"/>
    <s v="Failed"/>
    <x v="5"/>
    <x v="1"/>
    <x v="7"/>
    <s v="Low"/>
    <n v="30"/>
  </r>
  <r>
    <s v="TXN1307"/>
    <s v="12-06-2025"/>
    <s v="08:25 AM"/>
    <s v="Armaan"/>
    <s v="Myntra"/>
    <n v="5919"/>
    <s v="Shopping"/>
    <x v="1"/>
    <s v="iPhone"/>
    <s v="Pending"/>
    <x v="4"/>
    <x v="1"/>
    <x v="16"/>
    <s v="Low"/>
    <n v="10"/>
  </r>
  <r>
    <s v="TXN1308"/>
    <s v="07-05-2025"/>
    <s v="03:36 PM"/>
    <s v="Mannat"/>
    <s v="Zomato"/>
    <n v="13621"/>
    <s v="Transfer"/>
    <x v="7"/>
    <s v="iPhone"/>
    <s v="Pending"/>
    <x v="4"/>
    <x v="1"/>
    <x v="10"/>
    <s v="Low"/>
    <n v="10"/>
  </r>
  <r>
    <s v="TXN1309"/>
    <s v="24-06-2025"/>
    <s v="09:01 AM"/>
    <s v="Riya"/>
    <s v="Uber"/>
    <n v="802"/>
    <s v="Recharge"/>
    <x v="0"/>
    <s v="Android"/>
    <s v="Failed"/>
    <x v="3"/>
    <x v="1"/>
    <x v="2"/>
    <s v="Low"/>
    <n v="30"/>
  </r>
  <r>
    <s v="TXN1310"/>
    <s v="01-01-2025"/>
    <s v="12:56 PM"/>
    <s v="Hunar"/>
    <s v="Uber"/>
    <n v="7059"/>
    <s v="Transfer"/>
    <x v="4"/>
    <s v="Android"/>
    <s v="Success"/>
    <x v="4"/>
    <x v="1"/>
    <x v="12"/>
    <s v="Low"/>
    <n v="10"/>
  </r>
  <r>
    <s v="TXN1311"/>
    <s v="24-01-2025"/>
    <s v="08:57 AM"/>
    <s v="Nirvaan"/>
    <s v="Zomato"/>
    <n v="4152"/>
    <s v="Bills"/>
    <x v="7"/>
    <s v="Android"/>
    <s v="Pending"/>
    <x v="3"/>
    <x v="1"/>
    <x v="16"/>
    <s v="Low"/>
    <n v="10"/>
  </r>
  <r>
    <s v="TXN1312"/>
    <s v="20-03-2025"/>
    <s v="01:05 PM"/>
    <s v="Shayak"/>
    <s v="Flipkart"/>
    <n v="12423"/>
    <s v="Recharge"/>
    <x v="0"/>
    <s v="Android"/>
    <s v="Pending"/>
    <x v="1"/>
    <x v="1"/>
    <x v="15"/>
    <s v="Low"/>
    <n v="10"/>
  </r>
  <r>
    <s v="TXN1313"/>
    <s v="20-01-2025"/>
    <s v="11:00 PM"/>
    <s v="Purab"/>
    <s v="Unknown"/>
    <n v="49647"/>
    <s v="Food"/>
    <x v="6"/>
    <s v="iPhone"/>
    <s v="Failed"/>
    <x v="4"/>
    <x v="0"/>
    <x v="21"/>
    <s v="High"/>
    <n v="100"/>
  </r>
  <r>
    <s v="TXN1314"/>
    <s v="19-04-2025"/>
    <s v="08:05 AM"/>
    <s v="Yakshit"/>
    <s v="Swiggy"/>
    <n v="7876"/>
    <s v="Transfer"/>
    <x v="0"/>
    <s v="Android"/>
    <s v="Failed"/>
    <x v="2"/>
    <x v="1"/>
    <x v="16"/>
    <s v="Low"/>
    <n v="30"/>
  </r>
  <r>
    <s v="TXN1315"/>
    <s v="18-03-2025"/>
    <s v="01:33 AM"/>
    <s v="Kiara"/>
    <s v="Unknown"/>
    <n v="37451"/>
    <s v="Transfer"/>
    <x v="6"/>
    <s v="Android"/>
    <s v="Success"/>
    <x v="3"/>
    <x v="0"/>
    <x v="0"/>
    <s v="High"/>
    <n v="95"/>
  </r>
  <r>
    <s v="TXN1316"/>
    <s v="24-02-2025"/>
    <s v="07:28 PM"/>
    <s v="Ayesha"/>
    <s v="Unknown"/>
    <n v="2530"/>
    <s v="Shopping"/>
    <x v="1"/>
    <s v="Android"/>
    <s v="Pending"/>
    <x v="6"/>
    <x v="1"/>
    <x v="8"/>
    <s v="Low"/>
    <n v="40"/>
  </r>
  <r>
    <s v="TXN1317"/>
    <s v="01-02-2025"/>
    <s v="05:50 PM"/>
    <s v="Anvi"/>
    <s v="Flipkart"/>
    <n v="6341"/>
    <s v="Bills"/>
    <x v="7"/>
    <s v="Android"/>
    <s v="Failed"/>
    <x v="2"/>
    <x v="1"/>
    <x v="7"/>
    <s v="Low"/>
    <n v="30"/>
  </r>
  <r>
    <s v="TXN1318"/>
    <s v="22-01-2025"/>
    <s v="03:01 PM"/>
    <s v="Neysa"/>
    <s v="Myntra"/>
    <n v="9896"/>
    <s v="Travel"/>
    <x v="4"/>
    <s v="Android"/>
    <s v="Pending"/>
    <x v="0"/>
    <x v="1"/>
    <x v="10"/>
    <s v="Low"/>
    <n v="10"/>
  </r>
  <r>
    <s v="TXN1319"/>
    <s v="11-05-2025"/>
    <s v="03:50 PM"/>
    <s v="Navya"/>
    <s v="Uber"/>
    <n v="6468"/>
    <s v="Food"/>
    <x v="1"/>
    <s v="iPhone"/>
    <s v="Success"/>
    <x v="3"/>
    <x v="1"/>
    <x v="10"/>
    <s v="Low"/>
    <n v="10"/>
  </r>
  <r>
    <s v="TXN1320"/>
    <s v="03-03-2025"/>
    <s v="08:23 AM"/>
    <s v="Jiya"/>
    <s v="Unknown"/>
    <n v="9780"/>
    <s v="Travel"/>
    <x v="3"/>
    <s v="Android"/>
    <s v="Success"/>
    <x v="3"/>
    <x v="1"/>
    <x v="16"/>
    <s v="Low"/>
    <n v="40"/>
  </r>
  <r>
    <s v="TXN1321"/>
    <s v="18-04-2025"/>
    <s v="11:49 AM"/>
    <s v="Badal"/>
    <s v="Myntra"/>
    <n v="11239"/>
    <s v="Food"/>
    <x v="0"/>
    <s v="Android"/>
    <s v="Failed"/>
    <x v="0"/>
    <x v="1"/>
    <x v="4"/>
    <s v="Low"/>
    <n v="30"/>
  </r>
  <r>
    <s v="TXN1322"/>
    <s v="04-01-2025"/>
    <s v="07:32 AM"/>
    <s v="Shamik"/>
    <s v="Myntra"/>
    <n v="702"/>
    <s v="Bills"/>
    <x v="4"/>
    <s v="iPhone"/>
    <s v="Failed"/>
    <x v="3"/>
    <x v="1"/>
    <x v="17"/>
    <s v="Low"/>
    <n v="30"/>
  </r>
  <r>
    <s v="TXN1323"/>
    <s v="13-04-2025"/>
    <s v="02:19 AM"/>
    <s v="Hansh"/>
    <s v="Unknown"/>
    <n v="40012"/>
    <s v="Shopping"/>
    <x v="0"/>
    <s v="Android"/>
    <s v="Success"/>
    <x v="4"/>
    <x v="0"/>
    <x v="3"/>
    <s v="High"/>
    <n v="95"/>
  </r>
  <r>
    <s v="TXN1324"/>
    <s v="18-05-2025"/>
    <s v="08:27 AM"/>
    <s v="Eva"/>
    <s v="Zomato"/>
    <n v="9658"/>
    <s v="Food"/>
    <x v="1"/>
    <s v="Android"/>
    <s v="Pending"/>
    <x v="1"/>
    <x v="1"/>
    <x v="16"/>
    <s v="Low"/>
    <n v="10"/>
  </r>
  <r>
    <s v="TXN1325"/>
    <s v="22-04-2025"/>
    <s v="02:07 AM"/>
    <s v="Dharmajan"/>
    <s v="Unknown"/>
    <n v="27212"/>
    <s v="Food"/>
    <x v="6"/>
    <s v="Android"/>
    <s v="Success"/>
    <x v="5"/>
    <x v="0"/>
    <x v="3"/>
    <s v="High"/>
    <n v="95"/>
  </r>
  <r>
    <s v="TXN1326"/>
    <s v="11-02-2025"/>
    <s v="10:16 PM"/>
    <s v="Siya"/>
    <s v="Unknown"/>
    <n v="5730"/>
    <s v="Bills"/>
    <x v="7"/>
    <s v="iPhone"/>
    <s v="Pending"/>
    <x v="1"/>
    <x v="1"/>
    <x v="19"/>
    <s v="Low"/>
    <n v="40"/>
  </r>
  <r>
    <s v="TXN1327"/>
    <s v="10-03-2025"/>
    <s v="06:17 AM"/>
    <s v="Pranay"/>
    <s v="Zomato"/>
    <n v="1984"/>
    <s v="Travel"/>
    <x v="0"/>
    <s v="iPhone"/>
    <s v="Failed"/>
    <x v="5"/>
    <x v="1"/>
    <x v="1"/>
    <s v="Low"/>
    <n v="30"/>
  </r>
  <r>
    <s v="TXN1328"/>
    <s v="10-06-2025"/>
    <s v="11:03 PM"/>
    <s v="Kabir"/>
    <s v="Unknown"/>
    <n v="79663"/>
    <s v="Shopping"/>
    <x v="5"/>
    <s v="Android"/>
    <s v="Failed"/>
    <x v="2"/>
    <x v="0"/>
    <x v="21"/>
    <s v="High"/>
    <n v="100"/>
  </r>
  <r>
    <s v="TXN1329"/>
    <s v="07-03-2025"/>
    <s v="09:32 AM"/>
    <s v="Advika"/>
    <s v="Swiggy"/>
    <n v="14701"/>
    <s v="Food"/>
    <x v="6"/>
    <s v="Android"/>
    <s v="Pending"/>
    <x v="4"/>
    <x v="1"/>
    <x v="2"/>
    <s v="Low"/>
    <n v="10"/>
  </r>
  <r>
    <s v="TXN1330"/>
    <s v="04-03-2025"/>
    <s v="03:11 AM"/>
    <s v="Oorja"/>
    <s v="Unknown"/>
    <n v="67707"/>
    <s v="Transfer"/>
    <x v="6"/>
    <s v="iPhone"/>
    <s v="Success"/>
    <x v="1"/>
    <x v="0"/>
    <x v="18"/>
    <s v="High"/>
    <n v="95"/>
  </r>
  <r>
    <s v="TXN1331"/>
    <s v="05-03-2025"/>
    <s v="04:36 PM"/>
    <s v="Divij"/>
    <s v="Zomato"/>
    <n v="11851"/>
    <s v="Bills"/>
    <x v="3"/>
    <s v="Android"/>
    <s v="Success"/>
    <x v="0"/>
    <x v="1"/>
    <x v="5"/>
    <s v="Low"/>
    <n v="10"/>
  </r>
  <r>
    <s v="TXN1332"/>
    <s v="14-01-2025"/>
    <s v="10:04 PM"/>
    <s v="Nirvaan"/>
    <s v="Amazon"/>
    <n v="13228"/>
    <s v="Transfer"/>
    <x v="5"/>
    <s v="iPhone"/>
    <s v="Failed"/>
    <x v="4"/>
    <x v="1"/>
    <x v="19"/>
    <s v="Low"/>
    <n v="30"/>
  </r>
  <r>
    <s v="TXN1333"/>
    <s v="25-03-2025"/>
    <s v="12:12 AM"/>
    <s v="Samiha"/>
    <s v="Unknown"/>
    <n v="79866"/>
    <s v="Travel"/>
    <x v="4"/>
    <s v="iPhone"/>
    <s v="Failed"/>
    <x v="5"/>
    <x v="0"/>
    <x v="13"/>
    <s v="High"/>
    <n v="115"/>
  </r>
  <r>
    <s v="TXN1334"/>
    <s v="04-03-2025"/>
    <s v="09:46 PM"/>
    <s v="Nishith"/>
    <s v="Myntra"/>
    <n v="9744"/>
    <s v="Recharge"/>
    <x v="1"/>
    <s v="Android"/>
    <s v="Success"/>
    <x v="6"/>
    <x v="1"/>
    <x v="14"/>
    <s v="Low"/>
    <n v="10"/>
  </r>
  <r>
    <s v="TXN1335"/>
    <s v="07-01-2025"/>
    <s v="06:48 AM"/>
    <s v="Tarini"/>
    <s v="Zomato"/>
    <n v="5725"/>
    <s v="Shopping"/>
    <x v="2"/>
    <s v="iPhone"/>
    <s v="Success"/>
    <x v="6"/>
    <x v="1"/>
    <x v="1"/>
    <s v="Low"/>
    <n v="10"/>
  </r>
  <r>
    <s v="TXN1336"/>
    <s v="16-05-2025"/>
    <s v="09:45 PM"/>
    <s v="Saksham"/>
    <s v="Amazon"/>
    <n v="6928"/>
    <s v="Shopping"/>
    <x v="4"/>
    <s v="Android"/>
    <s v="Success"/>
    <x v="6"/>
    <x v="1"/>
    <x v="14"/>
    <s v="Low"/>
    <n v="10"/>
  </r>
  <r>
    <s v="TXN1337"/>
    <s v="14-05-2025"/>
    <s v="05:05 PM"/>
    <s v="Jayan"/>
    <s v="Flipkart"/>
    <n v="14723"/>
    <s v="Recharge"/>
    <x v="0"/>
    <s v="Android"/>
    <s v="Pending"/>
    <x v="5"/>
    <x v="1"/>
    <x v="7"/>
    <s v="Low"/>
    <n v="10"/>
  </r>
  <r>
    <s v="TXN1338"/>
    <s v="20-01-2025"/>
    <s v="07:15 PM"/>
    <s v="Himmat"/>
    <s v="Uber"/>
    <n v="1070"/>
    <s v="Transfer"/>
    <x v="4"/>
    <s v="iPhone"/>
    <s v="Success"/>
    <x v="4"/>
    <x v="1"/>
    <x v="8"/>
    <s v="Low"/>
    <n v="10"/>
  </r>
  <r>
    <s v="TXN1339"/>
    <s v="11-04-2025"/>
    <s v="04:17 PM"/>
    <s v="Anay"/>
    <s v="Zomato"/>
    <n v="12098"/>
    <s v="Shopping"/>
    <x v="1"/>
    <s v="Android"/>
    <s v="Failed"/>
    <x v="1"/>
    <x v="1"/>
    <x v="5"/>
    <s v="Low"/>
    <n v="30"/>
  </r>
  <r>
    <s v="TXN1340"/>
    <s v="30-05-2025"/>
    <s v="01:29 AM"/>
    <s v="Ritvik"/>
    <s v="Unknown"/>
    <n v="33848"/>
    <s v="Travel"/>
    <x v="3"/>
    <s v="iPhone"/>
    <s v="Failed"/>
    <x v="6"/>
    <x v="0"/>
    <x v="0"/>
    <s v="High"/>
    <n v="115"/>
  </r>
  <r>
    <s v="TXN1341"/>
    <s v="02-04-2025"/>
    <s v="08:16 PM"/>
    <s v="Mamooty"/>
    <s v="Zomato"/>
    <n v="3451"/>
    <s v="Bills"/>
    <x v="0"/>
    <s v="Android"/>
    <s v="Failed"/>
    <x v="1"/>
    <x v="1"/>
    <x v="6"/>
    <s v="Low"/>
    <n v="30"/>
  </r>
  <r>
    <s v="TXN1342"/>
    <s v="19-03-2025"/>
    <s v="07:09 AM"/>
    <s v="Armaan"/>
    <s v="Swiggy"/>
    <n v="11467"/>
    <s v="Recharge"/>
    <x v="0"/>
    <s v="Android"/>
    <s v="Failed"/>
    <x v="2"/>
    <x v="1"/>
    <x v="17"/>
    <s v="Low"/>
    <n v="30"/>
  </r>
  <r>
    <s v="TXN1343"/>
    <s v="12-05-2025"/>
    <s v="02:01 AM"/>
    <s v="Kartik"/>
    <s v="Unknown"/>
    <n v="59169"/>
    <s v="Bills"/>
    <x v="2"/>
    <s v="iPhone"/>
    <s v="Success"/>
    <x v="0"/>
    <x v="0"/>
    <x v="3"/>
    <s v="High"/>
    <n v="95"/>
  </r>
  <r>
    <s v="TXN1344"/>
    <s v="21-05-2025"/>
    <s v="09:07 AM"/>
    <s v="Siya"/>
    <s v="Myntra"/>
    <n v="7620"/>
    <s v="Shopping"/>
    <x v="6"/>
    <s v="Android"/>
    <s v="Success"/>
    <x v="4"/>
    <x v="1"/>
    <x v="2"/>
    <s v="Low"/>
    <n v="10"/>
  </r>
  <r>
    <s v="TXN1345"/>
    <s v="03-02-2025"/>
    <s v="05:41 PM"/>
    <s v="Hunar"/>
    <s v="Uber"/>
    <n v="6613"/>
    <s v="Food"/>
    <x v="0"/>
    <s v="iPhone"/>
    <s v="Pending"/>
    <x v="4"/>
    <x v="1"/>
    <x v="7"/>
    <s v="Low"/>
    <n v="10"/>
  </r>
  <r>
    <s v="TXN1346"/>
    <s v="06-01-2025"/>
    <s v="08:05 PM"/>
    <s v="Saanvi"/>
    <s v="Myntra"/>
    <n v="3289"/>
    <s v="Recharge"/>
    <x v="3"/>
    <s v="Android"/>
    <s v="Success"/>
    <x v="6"/>
    <x v="1"/>
    <x v="6"/>
    <s v="Low"/>
    <n v="10"/>
  </r>
  <r>
    <s v="TXN1347"/>
    <s v="13-01-2025"/>
    <s v="07:25 PM"/>
    <s v="Himmat"/>
    <s v="Myntra"/>
    <n v="9452"/>
    <s v="Bills"/>
    <x v="5"/>
    <s v="Android"/>
    <s v="Pending"/>
    <x v="3"/>
    <x v="1"/>
    <x v="8"/>
    <s v="Low"/>
    <n v="10"/>
  </r>
  <r>
    <s v="TXN1348"/>
    <s v="20-04-2025"/>
    <s v="11:28 AM"/>
    <s v="Kiaan"/>
    <s v="Zomato"/>
    <n v="3567"/>
    <s v="Travel"/>
    <x v="7"/>
    <s v="Android"/>
    <s v="Failed"/>
    <x v="0"/>
    <x v="1"/>
    <x v="4"/>
    <s v="Low"/>
    <n v="30"/>
  </r>
  <r>
    <s v="TXN1349"/>
    <s v="07-06-2025"/>
    <s v="09:30 PM"/>
    <s v="Tiya"/>
    <s v="Flipkart"/>
    <n v="4885"/>
    <s v="Recharge"/>
    <x v="6"/>
    <s v="Android"/>
    <s v="Pending"/>
    <x v="2"/>
    <x v="1"/>
    <x v="14"/>
    <s v="Low"/>
    <n v="10"/>
  </r>
  <r>
    <s v="TXN1350"/>
    <s v="05-02-2025"/>
    <s v="10:51 PM"/>
    <s v="Jivin"/>
    <s v="Swiggy"/>
    <n v="10579"/>
    <s v="Bills"/>
    <x v="6"/>
    <s v="iPhone"/>
    <s v="Pending"/>
    <x v="4"/>
    <x v="1"/>
    <x v="19"/>
    <s v="Low"/>
    <n v="10"/>
  </r>
  <r>
    <s v="TXN1351"/>
    <s v="02-04-2025"/>
    <s v="09:32 PM"/>
    <s v="Yashvi"/>
    <s v="Zomato"/>
    <n v="12853"/>
    <s v="Shopping"/>
    <x v="3"/>
    <s v="iPhone"/>
    <s v="Pending"/>
    <x v="2"/>
    <x v="1"/>
    <x v="14"/>
    <s v="Low"/>
    <n v="10"/>
  </r>
  <r>
    <s v="TXN1352"/>
    <s v="07-01-2025"/>
    <s v="06:03 AM"/>
    <s v="Devansh"/>
    <s v="Myntra"/>
    <n v="3638"/>
    <s v="Travel"/>
    <x v="5"/>
    <s v="iPhone"/>
    <s v="Failed"/>
    <x v="4"/>
    <x v="1"/>
    <x v="1"/>
    <s v="Low"/>
    <n v="30"/>
  </r>
  <r>
    <s v="TXN1353"/>
    <s v="01-03-2025"/>
    <s v="01:17 PM"/>
    <s v="Shalv"/>
    <s v="Uber"/>
    <n v="1690"/>
    <s v="Recharge"/>
    <x v="6"/>
    <s v="Android"/>
    <s v="Success"/>
    <x v="0"/>
    <x v="1"/>
    <x v="15"/>
    <s v="Low"/>
    <n v="10"/>
  </r>
  <r>
    <s v="TXN1354"/>
    <s v="01-04-2025"/>
    <s v="11:37 AM"/>
    <s v="Kimaya"/>
    <s v="Swiggy"/>
    <n v="13898"/>
    <s v="Food"/>
    <x v="3"/>
    <s v="iPhone"/>
    <s v="Success"/>
    <x v="0"/>
    <x v="1"/>
    <x v="4"/>
    <s v="Low"/>
    <n v="10"/>
  </r>
  <r>
    <s v="TXN1355"/>
    <s v="30-06-2025"/>
    <s v="10:53 AM"/>
    <s v="Vaibhav"/>
    <s v="Unknown"/>
    <n v="9350"/>
    <s v="Recharge"/>
    <x v="5"/>
    <s v="iPhone"/>
    <s v="Success"/>
    <x v="1"/>
    <x v="1"/>
    <x v="11"/>
    <s v="Low"/>
    <n v="40"/>
  </r>
  <r>
    <s v="TXN1356"/>
    <s v="10-01-2025"/>
    <s v="11:01 PM"/>
    <s v="Shray"/>
    <s v="Unknown"/>
    <n v="50490"/>
    <s v="Travel"/>
    <x v="5"/>
    <s v="Android"/>
    <s v="Success"/>
    <x v="2"/>
    <x v="0"/>
    <x v="21"/>
    <s v="High"/>
    <n v="80"/>
  </r>
  <r>
    <s v="TXN1357"/>
    <s v="21-02-2025"/>
    <s v="11:03 AM"/>
    <s v="Ela"/>
    <s v="Myntra"/>
    <n v="5632"/>
    <s v="Bills"/>
    <x v="6"/>
    <s v="Android"/>
    <s v="Failed"/>
    <x v="0"/>
    <x v="1"/>
    <x v="4"/>
    <s v="Low"/>
    <n v="30"/>
  </r>
  <r>
    <s v="TXN1358"/>
    <s v="06-02-2025"/>
    <s v="10:04 PM"/>
    <s v="Neysa"/>
    <s v="Myntra"/>
    <n v="13918"/>
    <s v="Food"/>
    <x v="3"/>
    <s v="iPhone"/>
    <s v="Failed"/>
    <x v="0"/>
    <x v="1"/>
    <x v="19"/>
    <s v="Low"/>
    <n v="30"/>
  </r>
  <r>
    <s v="TXN1359"/>
    <s v="28-03-2025"/>
    <s v="11:50 AM"/>
    <s v="Shlok"/>
    <s v="Uber"/>
    <n v="2285"/>
    <s v="Bills"/>
    <x v="5"/>
    <s v="iPhone"/>
    <s v="Failed"/>
    <x v="1"/>
    <x v="1"/>
    <x v="4"/>
    <s v="Low"/>
    <n v="30"/>
  </r>
  <r>
    <s v="TXN1360"/>
    <s v="24-05-2025"/>
    <s v="05:37 PM"/>
    <s v="Tiya"/>
    <s v="Swiggy"/>
    <n v="10105"/>
    <s v="Bills"/>
    <x v="7"/>
    <s v="iPhone"/>
    <s v="Pending"/>
    <x v="2"/>
    <x v="1"/>
    <x v="7"/>
    <s v="Low"/>
    <n v="10"/>
  </r>
  <r>
    <s v="TXN1361"/>
    <s v="26-06-2025"/>
    <s v="06:25 AM"/>
    <s v="Dhruv"/>
    <s v="Uber"/>
    <n v="2961"/>
    <s v="Transfer"/>
    <x v="6"/>
    <s v="Android"/>
    <s v="Pending"/>
    <x v="0"/>
    <x v="1"/>
    <x v="1"/>
    <s v="Low"/>
    <n v="10"/>
  </r>
  <r>
    <s v="TXN1362"/>
    <s v="06-06-2025"/>
    <s v="09:21 AM"/>
    <s v="Romil"/>
    <s v="Flipkart"/>
    <n v="9315"/>
    <s v="Transfer"/>
    <x v="0"/>
    <s v="Android"/>
    <s v="Success"/>
    <x v="2"/>
    <x v="1"/>
    <x v="2"/>
    <s v="Low"/>
    <n v="10"/>
  </r>
  <r>
    <s v="TXN1363"/>
    <s v="12-02-2025"/>
    <s v="04:16 PM"/>
    <s v="Reyansh"/>
    <s v="Flipkart"/>
    <n v="1503"/>
    <s v="Food"/>
    <x v="1"/>
    <s v="Android"/>
    <s v="Success"/>
    <x v="5"/>
    <x v="1"/>
    <x v="5"/>
    <s v="Low"/>
    <n v="10"/>
  </r>
  <r>
    <s v="TXN1364"/>
    <s v="31-03-2025"/>
    <s v="06:28 AM"/>
    <s v="Indrans"/>
    <s v="Amazon"/>
    <n v="1820"/>
    <s v="Recharge"/>
    <x v="2"/>
    <s v="Android"/>
    <s v="Failed"/>
    <x v="3"/>
    <x v="1"/>
    <x v="1"/>
    <s v="Low"/>
    <n v="30"/>
  </r>
  <r>
    <s v="TXN1365"/>
    <s v="07-04-2025"/>
    <s v="09:50 AM"/>
    <s v="Anvi"/>
    <s v="Myntra"/>
    <n v="6199"/>
    <s v="Food"/>
    <x v="1"/>
    <s v="Android"/>
    <s v="Failed"/>
    <x v="3"/>
    <x v="1"/>
    <x v="2"/>
    <s v="Low"/>
    <n v="30"/>
  </r>
  <r>
    <s v="TXN1366"/>
    <s v="09-01-2025"/>
    <s v="02:21 PM"/>
    <s v="Riya"/>
    <s v="Amazon"/>
    <n v="5271"/>
    <s v="Bills"/>
    <x v="7"/>
    <s v="iPhone"/>
    <s v="Success"/>
    <x v="1"/>
    <x v="1"/>
    <x v="9"/>
    <s v="Low"/>
    <n v="10"/>
  </r>
  <r>
    <s v="TXN1367"/>
    <s v="20-01-2025"/>
    <s v="08:39 AM"/>
    <s v="Rohan"/>
    <s v="Zomato"/>
    <n v="14764"/>
    <s v="Bills"/>
    <x v="5"/>
    <s v="Android"/>
    <s v="Pending"/>
    <x v="3"/>
    <x v="1"/>
    <x v="16"/>
    <s v="Low"/>
    <n v="10"/>
  </r>
  <r>
    <s v="TXN1368"/>
    <s v="12-02-2025"/>
    <s v="11:21 AM"/>
    <s v="Manjari"/>
    <s v="Amazon"/>
    <n v="7163"/>
    <s v="Bills"/>
    <x v="1"/>
    <s v="Android"/>
    <s v="Success"/>
    <x v="3"/>
    <x v="1"/>
    <x v="4"/>
    <s v="Low"/>
    <n v="10"/>
  </r>
  <r>
    <s v="TXN1369"/>
    <s v="22-05-2025"/>
    <s v="02:19 PM"/>
    <s v="Farhan"/>
    <s v="Uber"/>
    <n v="12009"/>
    <s v="Recharge"/>
    <x v="1"/>
    <s v="Android"/>
    <s v="Failed"/>
    <x v="6"/>
    <x v="1"/>
    <x v="9"/>
    <s v="Low"/>
    <n v="30"/>
  </r>
  <r>
    <s v="TXN1370"/>
    <s v="27-05-2025"/>
    <s v="10:00 AM"/>
    <s v="Advik"/>
    <s v="Amazon"/>
    <n v="8093"/>
    <s v="Bills"/>
    <x v="2"/>
    <s v="Android"/>
    <s v="Failed"/>
    <x v="2"/>
    <x v="1"/>
    <x v="11"/>
    <s v="Low"/>
    <n v="30"/>
  </r>
  <r>
    <s v="TXN1371"/>
    <s v="10-06-2025"/>
    <s v="09:10 AM"/>
    <s v="Raghav"/>
    <s v="Amazon"/>
    <n v="3321"/>
    <s v="Food"/>
    <x v="4"/>
    <s v="Android"/>
    <s v="Success"/>
    <x v="3"/>
    <x v="1"/>
    <x v="2"/>
    <s v="Low"/>
    <n v="10"/>
  </r>
  <r>
    <s v="TXN1372"/>
    <s v="20-03-2025"/>
    <s v="09:05 PM"/>
    <s v="Indrajit"/>
    <s v="Uber"/>
    <n v="7765"/>
    <s v="Recharge"/>
    <x v="2"/>
    <s v="Android"/>
    <s v="Failed"/>
    <x v="2"/>
    <x v="1"/>
    <x v="14"/>
    <s v="Low"/>
    <n v="30"/>
  </r>
  <r>
    <s v="TXN1373"/>
    <s v="05-04-2025"/>
    <s v="02:16 PM"/>
    <s v="Suhana"/>
    <s v="Flipkart"/>
    <n v="781"/>
    <s v="Food"/>
    <x v="1"/>
    <s v="iPhone"/>
    <s v="Failed"/>
    <x v="0"/>
    <x v="1"/>
    <x v="9"/>
    <s v="Low"/>
    <n v="30"/>
  </r>
  <r>
    <s v="TXN1374"/>
    <s v="08-02-2025"/>
    <s v="09:22 AM"/>
    <s v="Rhea"/>
    <s v="Amazon"/>
    <n v="10985"/>
    <s v="Food"/>
    <x v="2"/>
    <s v="Android"/>
    <s v="Pending"/>
    <x v="0"/>
    <x v="1"/>
    <x v="2"/>
    <s v="Low"/>
    <n v="10"/>
  </r>
  <r>
    <s v="TXN1375"/>
    <s v="10-04-2025"/>
    <s v="09:30 PM"/>
    <s v="Shanaya"/>
    <s v="Unknown"/>
    <n v="6908"/>
    <s v="Bills"/>
    <x v="4"/>
    <s v="Android"/>
    <s v="Success"/>
    <x v="3"/>
    <x v="1"/>
    <x v="14"/>
    <s v="Low"/>
    <n v="40"/>
  </r>
  <r>
    <s v="TXN1376"/>
    <s v="09-01-2025"/>
    <s v="10:43 PM"/>
    <s v="Ivan"/>
    <s v="Myntra"/>
    <n v="14803"/>
    <s v="Recharge"/>
    <x v="7"/>
    <s v="Android"/>
    <s v="Pending"/>
    <x v="4"/>
    <x v="1"/>
    <x v="19"/>
    <s v="Low"/>
    <n v="10"/>
  </r>
  <r>
    <s v="TXN1377"/>
    <s v="14-02-2025"/>
    <s v="12:08 PM"/>
    <s v="Rhea"/>
    <s v="Myntra"/>
    <n v="2788"/>
    <s v="Bills"/>
    <x v="6"/>
    <s v="iPhone"/>
    <s v="Success"/>
    <x v="6"/>
    <x v="1"/>
    <x v="12"/>
    <s v="Low"/>
    <n v="10"/>
  </r>
  <r>
    <s v="TXN1378"/>
    <s v="22-04-2025"/>
    <s v="10:16 AM"/>
    <s v="Mahika"/>
    <s v="Myntra"/>
    <n v="13526"/>
    <s v="Recharge"/>
    <x v="3"/>
    <s v="Android"/>
    <s v="Pending"/>
    <x v="6"/>
    <x v="1"/>
    <x v="11"/>
    <s v="Low"/>
    <n v="10"/>
  </r>
  <r>
    <s v="TXN1379"/>
    <s v="23-05-2025"/>
    <s v="02:58 PM"/>
    <s v="Veer"/>
    <s v="Unknown"/>
    <n v="5393"/>
    <s v="Recharge"/>
    <x v="6"/>
    <s v="iPhone"/>
    <s v="Failed"/>
    <x v="6"/>
    <x v="1"/>
    <x v="9"/>
    <s v="Low"/>
    <n v="60"/>
  </r>
  <r>
    <s v="TXN1380"/>
    <s v="08-02-2025"/>
    <s v="12:50 AM"/>
    <s v="Aradhya"/>
    <s v="Unknown"/>
    <n v="33133"/>
    <s v="Transfer"/>
    <x v="4"/>
    <s v="iPhone"/>
    <s v="Success"/>
    <x v="3"/>
    <x v="0"/>
    <x v="13"/>
    <s v="High"/>
    <n v="95"/>
  </r>
  <r>
    <s v="TXN1381"/>
    <s v="09-04-2025"/>
    <s v="09:17 PM"/>
    <s v="Pranay"/>
    <s v="Amazon"/>
    <n v="9422"/>
    <s v="Travel"/>
    <x v="2"/>
    <s v="Android"/>
    <s v="Success"/>
    <x v="0"/>
    <x v="1"/>
    <x v="14"/>
    <s v="Low"/>
    <n v="10"/>
  </r>
  <r>
    <s v="TXN1382"/>
    <s v="24-06-2025"/>
    <s v="06:15 PM"/>
    <s v="Sumer"/>
    <s v="Zomato"/>
    <n v="685"/>
    <s v="Transfer"/>
    <x v="6"/>
    <s v="iPhone"/>
    <s v="Pending"/>
    <x v="2"/>
    <x v="1"/>
    <x v="20"/>
    <s v="Low"/>
    <n v="10"/>
  </r>
  <r>
    <s v="TXN1383"/>
    <s v="06-01-2025"/>
    <s v="03:53 PM"/>
    <s v="Ritvik"/>
    <s v="Zomato"/>
    <n v="13053"/>
    <s v="Shopping"/>
    <x v="5"/>
    <s v="Android"/>
    <s v="Failed"/>
    <x v="4"/>
    <x v="1"/>
    <x v="10"/>
    <s v="Low"/>
    <n v="30"/>
  </r>
  <r>
    <s v="TXN1384"/>
    <s v="04-02-2025"/>
    <s v="08:17 PM"/>
    <s v="Shlok"/>
    <s v="Myntra"/>
    <n v="12235"/>
    <s v="Recharge"/>
    <x v="2"/>
    <s v="Android"/>
    <s v="Failed"/>
    <x v="1"/>
    <x v="1"/>
    <x v="6"/>
    <s v="Low"/>
    <n v="30"/>
  </r>
  <r>
    <s v="TXN1385"/>
    <s v="24-02-2025"/>
    <s v="09:55 PM"/>
    <s v="Taran"/>
    <s v="Myntra"/>
    <n v="6721"/>
    <s v="Shopping"/>
    <x v="3"/>
    <s v="Android"/>
    <s v="Pending"/>
    <x v="0"/>
    <x v="1"/>
    <x v="14"/>
    <s v="Low"/>
    <n v="10"/>
  </r>
  <r>
    <s v="TXN1386"/>
    <s v="17-01-2025"/>
    <s v="06:56 PM"/>
    <s v="Biju"/>
    <s v="Swiggy"/>
    <n v="8353"/>
    <s v="Shopping"/>
    <x v="6"/>
    <s v="Android"/>
    <s v="Pending"/>
    <x v="1"/>
    <x v="1"/>
    <x v="20"/>
    <s v="Low"/>
    <n v="10"/>
  </r>
  <r>
    <s v="TXN1387"/>
    <s v="15-01-2025"/>
    <s v="07:12 AM"/>
    <s v="Kiara"/>
    <s v="Zomato"/>
    <n v="7528"/>
    <s v="Recharge"/>
    <x v="4"/>
    <s v="iPhone"/>
    <s v="Pending"/>
    <x v="4"/>
    <x v="1"/>
    <x v="17"/>
    <s v="Low"/>
    <n v="10"/>
  </r>
  <r>
    <s v="TXN1388"/>
    <s v="10-05-2025"/>
    <s v="06:31 AM"/>
    <s v="Dhanush"/>
    <s v="Swiggy"/>
    <n v="2079"/>
    <s v="Recharge"/>
    <x v="5"/>
    <s v="Android"/>
    <s v="Failed"/>
    <x v="4"/>
    <x v="1"/>
    <x v="1"/>
    <s v="Low"/>
    <n v="30"/>
  </r>
  <r>
    <s v="TXN1389"/>
    <s v="31-05-2025"/>
    <s v="11:47 AM"/>
    <s v="Ehsaan"/>
    <s v="Myntra"/>
    <n v="5690"/>
    <s v="Recharge"/>
    <x v="0"/>
    <s v="iPhone"/>
    <s v="Failed"/>
    <x v="6"/>
    <x v="1"/>
    <x v="4"/>
    <s v="Low"/>
    <n v="30"/>
  </r>
  <r>
    <s v="TXN1390"/>
    <s v="13-01-2025"/>
    <s v="12:41 PM"/>
    <s v="Tarini"/>
    <s v="Myntra"/>
    <n v="9425"/>
    <s v="Bills"/>
    <x v="1"/>
    <s v="Android"/>
    <s v="Success"/>
    <x v="2"/>
    <x v="1"/>
    <x v="12"/>
    <s v="Low"/>
    <n v="10"/>
  </r>
  <r>
    <s v="TXN1391"/>
    <s v="15-04-2025"/>
    <s v="06:41 AM"/>
    <s v="Vardaniya"/>
    <s v="Flipkart"/>
    <n v="14216"/>
    <s v="Transfer"/>
    <x v="7"/>
    <s v="Android"/>
    <s v="Success"/>
    <x v="1"/>
    <x v="1"/>
    <x v="1"/>
    <s v="Low"/>
    <n v="10"/>
  </r>
  <r>
    <s v="TXN1392"/>
    <s v="05-06-2025"/>
    <s v="02:54 PM"/>
    <s v="Tushar"/>
    <s v="Flipkart"/>
    <n v="5054"/>
    <s v="Shopping"/>
    <x v="3"/>
    <s v="iPhone"/>
    <s v="Failed"/>
    <x v="2"/>
    <x v="1"/>
    <x v="9"/>
    <s v="Low"/>
    <n v="30"/>
  </r>
  <r>
    <s v="TXN1393"/>
    <s v="30-04-2025"/>
    <s v="06:00 PM"/>
    <s v="Neelofar"/>
    <s v="Unknown"/>
    <n v="8580"/>
    <s v="Bills"/>
    <x v="3"/>
    <s v="iPhone"/>
    <s v="Success"/>
    <x v="2"/>
    <x v="1"/>
    <x v="20"/>
    <s v="Low"/>
    <n v="40"/>
  </r>
  <r>
    <s v="TXN1394"/>
    <s v="28-01-2025"/>
    <s v="02:55 PM"/>
    <s v="Mohanlal"/>
    <s v="Uber"/>
    <n v="5559"/>
    <s v="Bills"/>
    <x v="4"/>
    <s v="iPhone"/>
    <s v="Failed"/>
    <x v="5"/>
    <x v="1"/>
    <x v="9"/>
    <s v="Low"/>
    <n v="30"/>
  </r>
  <r>
    <s v="TXN1395"/>
    <s v="16-06-2025"/>
    <s v="10:57 PM"/>
    <s v="Miraan"/>
    <s v="Myntra"/>
    <n v="2506"/>
    <s v="Transfer"/>
    <x v="6"/>
    <s v="iPhone"/>
    <s v="Success"/>
    <x v="5"/>
    <x v="1"/>
    <x v="19"/>
    <s v="Low"/>
    <n v="10"/>
  </r>
  <r>
    <s v="TXN1396"/>
    <s v="24-06-2025"/>
    <s v="03:16 AM"/>
    <s v="Aarav"/>
    <s v="Unknown"/>
    <n v="23336"/>
    <s v="Bills"/>
    <x v="2"/>
    <s v="iPhone"/>
    <s v="Failed"/>
    <x v="3"/>
    <x v="0"/>
    <x v="18"/>
    <s v="High"/>
    <n v="115"/>
  </r>
  <r>
    <s v="TXN1397"/>
    <s v="10-01-2025"/>
    <s v="12:45 PM"/>
    <s v="Aaryahi"/>
    <s v="Zomato"/>
    <n v="9422"/>
    <s v="Transfer"/>
    <x v="1"/>
    <s v="iPhone"/>
    <s v="Pending"/>
    <x v="5"/>
    <x v="1"/>
    <x v="12"/>
    <s v="Low"/>
    <n v="10"/>
  </r>
  <r>
    <s v="TXN1398"/>
    <s v="10-05-2025"/>
    <s v="11:30 AM"/>
    <s v="Seher"/>
    <s v="Zomato"/>
    <n v="2835"/>
    <s v="Travel"/>
    <x v="7"/>
    <s v="iPhone"/>
    <s v="Success"/>
    <x v="5"/>
    <x v="1"/>
    <x v="4"/>
    <s v="Low"/>
    <n v="10"/>
  </r>
  <r>
    <s v="TXN1399"/>
    <s v="16-02-2025"/>
    <s v="04:14 PM"/>
    <s v="Nitya"/>
    <s v="Uber"/>
    <n v="14788"/>
    <s v="Transfer"/>
    <x v="3"/>
    <s v="Android"/>
    <s v="Success"/>
    <x v="5"/>
    <x v="1"/>
    <x v="5"/>
    <s v="Low"/>
    <n v="10"/>
  </r>
  <r>
    <s v="TXN1400"/>
    <s v="18-04-2025"/>
    <s v="05:18 PM"/>
    <s v="Faiyaz"/>
    <s v="Zomato"/>
    <n v="5478"/>
    <s v="Food"/>
    <x v="5"/>
    <s v="Android"/>
    <s v="Pending"/>
    <x v="3"/>
    <x v="1"/>
    <x v="7"/>
    <s v="Low"/>
    <n v="10"/>
  </r>
  <r>
    <s v="TXN1401"/>
    <s v="12-06-2025"/>
    <s v="08:32 AM"/>
    <s v="Shanaya"/>
    <s v="Flipkart"/>
    <n v="10218"/>
    <s v="Transfer"/>
    <x v="0"/>
    <s v="iPhone"/>
    <s v="Success"/>
    <x v="0"/>
    <x v="1"/>
    <x v="16"/>
    <s v="Low"/>
    <n v="10"/>
  </r>
  <r>
    <s v="TXN1402"/>
    <s v="16-04-2025"/>
    <s v="01:21 AM"/>
    <s v="Vedika"/>
    <s v="Unknown"/>
    <n v="39762"/>
    <s v="Transfer"/>
    <x v="2"/>
    <s v="iPhone"/>
    <s v="Success"/>
    <x v="1"/>
    <x v="0"/>
    <x v="0"/>
    <s v="High"/>
    <n v="95"/>
  </r>
  <r>
    <s v="TXN1403"/>
    <s v="16-02-2025"/>
    <s v="04:20 PM"/>
    <s v="Samiha"/>
    <s v="Uber"/>
    <n v="8038"/>
    <s v="Transfer"/>
    <x v="6"/>
    <s v="Android"/>
    <s v="Success"/>
    <x v="3"/>
    <x v="1"/>
    <x v="5"/>
    <s v="Low"/>
    <n v="10"/>
  </r>
  <r>
    <s v="TXN1404"/>
    <s v="23-02-2025"/>
    <s v="11:08 AM"/>
    <s v="Ishaan"/>
    <s v="Flipkart"/>
    <n v="2812"/>
    <s v="Recharge"/>
    <x v="2"/>
    <s v="iPhone"/>
    <s v="Success"/>
    <x v="3"/>
    <x v="1"/>
    <x v="4"/>
    <s v="Low"/>
    <n v="10"/>
  </r>
  <r>
    <s v="TXN1405"/>
    <s v="03-05-2025"/>
    <s v="12:00 PM"/>
    <s v="Jayan"/>
    <s v="Uber"/>
    <n v="668"/>
    <s v="Bills"/>
    <x v="3"/>
    <s v="Android"/>
    <s v="Failed"/>
    <x v="6"/>
    <x v="1"/>
    <x v="12"/>
    <s v="Low"/>
    <n v="30"/>
  </r>
  <r>
    <s v="TXN1406"/>
    <s v="02-01-2025"/>
    <s v="01:19 PM"/>
    <s v="Zeeshan"/>
    <s v="Uber"/>
    <n v="4126"/>
    <s v="Travel"/>
    <x v="7"/>
    <s v="Android"/>
    <s v="Failed"/>
    <x v="3"/>
    <x v="1"/>
    <x v="15"/>
    <s v="Low"/>
    <n v="30"/>
  </r>
  <r>
    <s v="TXN1407"/>
    <s v="31-05-2025"/>
    <s v="07:29 AM"/>
    <s v="Navya"/>
    <s v="Zomato"/>
    <n v="1119"/>
    <s v="Shopping"/>
    <x v="3"/>
    <s v="iPhone"/>
    <s v="Failed"/>
    <x v="5"/>
    <x v="1"/>
    <x v="17"/>
    <s v="Low"/>
    <n v="30"/>
  </r>
  <r>
    <s v="TXN1408"/>
    <s v="29-03-2025"/>
    <s v="05:10 PM"/>
    <s v="Raghav"/>
    <s v="Myntra"/>
    <n v="8081"/>
    <s v="Shopping"/>
    <x v="2"/>
    <s v="Android"/>
    <s v="Success"/>
    <x v="1"/>
    <x v="1"/>
    <x v="7"/>
    <s v="Low"/>
    <n v="10"/>
  </r>
  <r>
    <s v="TXN1409"/>
    <s v="03-02-2025"/>
    <s v="10:23 PM"/>
    <s v="Jayant"/>
    <s v="Swiggy"/>
    <n v="409"/>
    <s v="Transfer"/>
    <x v="6"/>
    <s v="iPhone"/>
    <s v="Success"/>
    <x v="5"/>
    <x v="1"/>
    <x v="19"/>
    <s v="Low"/>
    <n v="10"/>
  </r>
  <r>
    <s v="TXN1410"/>
    <s v="17-05-2025"/>
    <s v="07:41 AM"/>
    <s v="Hrishita"/>
    <s v="Uber"/>
    <n v="9780"/>
    <s v="Food"/>
    <x v="6"/>
    <s v="Android"/>
    <s v="Success"/>
    <x v="5"/>
    <x v="1"/>
    <x v="17"/>
    <s v="Low"/>
    <n v="10"/>
  </r>
  <r>
    <s v="TXN1411"/>
    <s v="17-04-2025"/>
    <s v="02:09 PM"/>
    <s v="Hridaan"/>
    <s v="Flipkart"/>
    <n v="2074"/>
    <s v="Recharge"/>
    <x v="1"/>
    <s v="Android"/>
    <s v="Pending"/>
    <x v="2"/>
    <x v="1"/>
    <x v="9"/>
    <s v="Low"/>
    <n v="10"/>
  </r>
  <r>
    <s v="TXN1412"/>
    <s v="19-06-2025"/>
    <s v="02:26 AM"/>
    <s v="Tanya"/>
    <s v="Unknown"/>
    <n v="88197"/>
    <s v="Food"/>
    <x v="0"/>
    <s v="Android"/>
    <s v="Success"/>
    <x v="2"/>
    <x v="0"/>
    <x v="3"/>
    <s v="High"/>
    <n v="95"/>
  </r>
  <r>
    <s v="TXN1413"/>
    <s v="28-01-2025"/>
    <s v="12:53 PM"/>
    <s v="Nakul"/>
    <s v="Myntra"/>
    <n v="10027"/>
    <s v="Recharge"/>
    <x v="1"/>
    <s v="iPhone"/>
    <s v="Failed"/>
    <x v="5"/>
    <x v="1"/>
    <x v="12"/>
    <s v="Low"/>
    <n v="30"/>
  </r>
  <r>
    <s v="TXN1414"/>
    <s v="17-03-2025"/>
    <s v="09:59 PM"/>
    <s v="Charvi"/>
    <s v="Swiggy"/>
    <n v="9030"/>
    <s v="Food"/>
    <x v="5"/>
    <s v="iPhone"/>
    <s v="Pending"/>
    <x v="1"/>
    <x v="1"/>
    <x v="14"/>
    <s v="Low"/>
    <n v="10"/>
  </r>
  <r>
    <s v="TXN1415"/>
    <s v="04-01-2025"/>
    <s v="09:42 AM"/>
    <s v="Tushar"/>
    <s v="Myntra"/>
    <n v="14908"/>
    <s v="Travel"/>
    <x v="5"/>
    <s v="Android"/>
    <s v="Pending"/>
    <x v="6"/>
    <x v="1"/>
    <x v="2"/>
    <s v="Low"/>
    <n v="10"/>
  </r>
  <r>
    <s v="TXN1416"/>
    <s v="20-01-2025"/>
    <s v="02:29 PM"/>
    <s v="Riya"/>
    <s v="Uber"/>
    <n v="1709"/>
    <s v="Food"/>
    <x v="4"/>
    <s v="iPhone"/>
    <s v="Success"/>
    <x v="3"/>
    <x v="1"/>
    <x v="9"/>
    <s v="Low"/>
    <n v="10"/>
  </r>
  <r>
    <s v="TXN1417"/>
    <s v="26-01-2025"/>
    <s v="07:23 AM"/>
    <s v="Abram"/>
    <s v="Myntra"/>
    <n v="14371"/>
    <s v="Food"/>
    <x v="3"/>
    <s v="iPhone"/>
    <s v="Failed"/>
    <x v="5"/>
    <x v="1"/>
    <x v="17"/>
    <s v="Low"/>
    <n v="30"/>
  </r>
  <r>
    <s v="TXN1418"/>
    <s v="25-01-2025"/>
    <s v="07:42 AM"/>
    <s v="Myra"/>
    <s v="Amazon"/>
    <n v="14636"/>
    <s v="Recharge"/>
    <x v="7"/>
    <s v="iPhone"/>
    <s v="Success"/>
    <x v="2"/>
    <x v="1"/>
    <x v="17"/>
    <s v="Low"/>
    <n v="10"/>
  </r>
  <r>
    <s v="TXN1419"/>
    <s v="09-06-2025"/>
    <s v="08:11 AM"/>
    <s v="Tiya"/>
    <s v="Zomato"/>
    <n v="12060"/>
    <s v="Recharge"/>
    <x v="0"/>
    <s v="iPhone"/>
    <s v="Failed"/>
    <x v="3"/>
    <x v="1"/>
    <x v="16"/>
    <s v="Low"/>
    <n v="30"/>
  </r>
  <r>
    <s v="TXN1420"/>
    <s v="11-03-2025"/>
    <s v="09:41 PM"/>
    <s v="Hiran"/>
    <s v="Myntra"/>
    <n v="11353"/>
    <s v="Bills"/>
    <x v="7"/>
    <s v="Android"/>
    <s v="Failed"/>
    <x v="1"/>
    <x v="1"/>
    <x v="14"/>
    <s v="Low"/>
    <n v="30"/>
  </r>
  <r>
    <s v="TXN1421"/>
    <s v="16-01-2025"/>
    <s v="11:58 AM"/>
    <s v="Divyansh"/>
    <s v="Amazon"/>
    <n v="13883"/>
    <s v="Travel"/>
    <x v="5"/>
    <s v="iPhone"/>
    <s v="Failed"/>
    <x v="1"/>
    <x v="1"/>
    <x v="4"/>
    <s v="Low"/>
    <n v="30"/>
  </r>
  <r>
    <s v="TXN1422"/>
    <s v="08-04-2025"/>
    <s v="06:56 AM"/>
    <s v="Nehmat"/>
    <s v="Myntra"/>
    <n v="10066"/>
    <s v="Food"/>
    <x v="7"/>
    <s v="iPhone"/>
    <s v="Pending"/>
    <x v="3"/>
    <x v="1"/>
    <x v="1"/>
    <s v="Low"/>
    <n v="10"/>
  </r>
  <r>
    <s v="TXN1423"/>
    <s v="16-04-2025"/>
    <s v="02:00 PM"/>
    <s v="Romil"/>
    <s v="Uber"/>
    <n v="1087"/>
    <s v="Travel"/>
    <x v="1"/>
    <s v="iPhone"/>
    <s v="Failed"/>
    <x v="0"/>
    <x v="1"/>
    <x v="9"/>
    <s v="Low"/>
    <n v="30"/>
  </r>
  <r>
    <s v="TXN1424"/>
    <s v="26-06-2025"/>
    <s v="07:15 PM"/>
    <s v="Dhruv"/>
    <s v="Uber"/>
    <n v="1610"/>
    <s v="Bills"/>
    <x v="5"/>
    <s v="iPhone"/>
    <s v="Pending"/>
    <x v="5"/>
    <x v="1"/>
    <x v="8"/>
    <s v="Low"/>
    <n v="10"/>
  </r>
  <r>
    <s v="TXN1425"/>
    <s v="14-06-2025"/>
    <s v="07:59 AM"/>
    <s v="Rohan"/>
    <s v="Amazon"/>
    <n v="13796"/>
    <s v="Recharge"/>
    <x v="7"/>
    <s v="iPhone"/>
    <s v="Pending"/>
    <x v="4"/>
    <x v="1"/>
    <x v="17"/>
    <s v="Low"/>
    <n v="10"/>
  </r>
  <r>
    <s v="TXN1426"/>
    <s v="12-02-2025"/>
    <s v="02:21 AM"/>
    <s v="Nayantara"/>
    <s v="Unknown"/>
    <n v="84441"/>
    <s v="Shopping"/>
    <x v="4"/>
    <s v="Android"/>
    <s v="Success"/>
    <x v="0"/>
    <x v="0"/>
    <x v="3"/>
    <s v="High"/>
    <n v="95"/>
  </r>
  <r>
    <s v="TXN1427"/>
    <s v="21-05-2025"/>
    <s v="01:28 PM"/>
    <s v="Saksham"/>
    <s v="Amazon"/>
    <n v="6657"/>
    <s v="Recharge"/>
    <x v="5"/>
    <s v="Android"/>
    <s v="Failed"/>
    <x v="4"/>
    <x v="1"/>
    <x v="15"/>
    <s v="Low"/>
    <n v="30"/>
  </r>
  <r>
    <s v="TXN1428"/>
    <s v="25-04-2025"/>
    <s v="06:26 AM"/>
    <s v="Lakshit"/>
    <s v="Amazon"/>
    <n v="8198"/>
    <s v="Food"/>
    <x v="6"/>
    <s v="Android"/>
    <s v="Failed"/>
    <x v="4"/>
    <x v="1"/>
    <x v="1"/>
    <s v="Low"/>
    <n v="30"/>
  </r>
  <r>
    <s v="TXN1429"/>
    <s v="04-06-2025"/>
    <s v="03:13 PM"/>
    <s v="Samarth"/>
    <s v="Unknown"/>
    <n v="10495"/>
    <s v="Food"/>
    <x v="5"/>
    <s v="iPhone"/>
    <s v="Pending"/>
    <x v="2"/>
    <x v="1"/>
    <x v="10"/>
    <s v="Low"/>
    <n v="40"/>
  </r>
  <r>
    <s v="TXN1430"/>
    <s v="27-02-2025"/>
    <s v="09:23 PM"/>
    <s v="Eva"/>
    <s v="Uber"/>
    <n v="5489"/>
    <s v="Bills"/>
    <x v="5"/>
    <s v="Android"/>
    <s v="Pending"/>
    <x v="6"/>
    <x v="1"/>
    <x v="14"/>
    <s v="Low"/>
    <n v="10"/>
  </r>
  <r>
    <s v="TXN1431"/>
    <s v="26-02-2025"/>
    <s v="02:44 AM"/>
    <s v="Sumer"/>
    <s v="Unknown"/>
    <n v="66548"/>
    <s v="Recharge"/>
    <x v="0"/>
    <s v="Android"/>
    <s v="Failed"/>
    <x v="1"/>
    <x v="0"/>
    <x v="3"/>
    <s v="High"/>
    <n v="115"/>
  </r>
  <r>
    <s v="TXN1432"/>
    <s v="05-02-2025"/>
    <s v="07:39 PM"/>
    <s v="Manjari"/>
    <s v="Amazon"/>
    <n v="12215"/>
    <s v="Recharge"/>
    <x v="1"/>
    <s v="Android"/>
    <s v="Failed"/>
    <x v="6"/>
    <x v="1"/>
    <x v="8"/>
    <s v="Low"/>
    <n v="30"/>
  </r>
  <r>
    <s v="TXN1433"/>
    <s v="25-02-2025"/>
    <s v="12:06 PM"/>
    <s v="Aarav"/>
    <s v="Uber"/>
    <n v="12852"/>
    <s v="Bills"/>
    <x v="2"/>
    <s v="Android"/>
    <s v="Failed"/>
    <x v="5"/>
    <x v="1"/>
    <x v="12"/>
    <s v="Low"/>
    <n v="30"/>
  </r>
  <r>
    <s v="TXN1434"/>
    <s v="31-05-2025"/>
    <s v="03:31 AM"/>
    <s v="Nishith"/>
    <s v="Unknown"/>
    <n v="79048"/>
    <s v="Recharge"/>
    <x v="6"/>
    <s v="Android"/>
    <s v="Success"/>
    <x v="0"/>
    <x v="0"/>
    <x v="18"/>
    <s v="High"/>
    <n v="95"/>
  </r>
  <r>
    <s v="TXN1435"/>
    <s v="30-05-2025"/>
    <s v="11:11 AM"/>
    <s v="Samar"/>
    <s v="Uber"/>
    <n v="8378"/>
    <s v="Bills"/>
    <x v="7"/>
    <s v="Android"/>
    <s v="Pending"/>
    <x v="3"/>
    <x v="1"/>
    <x v="4"/>
    <s v="Low"/>
    <n v="10"/>
  </r>
  <r>
    <s v="TXN1436"/>
    <s v="03-06-2025"/>
    <s v="10:38 PM"/>
    <s v="Vaibhav"/>
    <s v="Flipkart"/>
    <n v="5323"/>
    <s v="Transfer"/>
    <x v="1"/>
    <s v="iPhone"/>
    <s v="Failed"/>
    <x v="3"/>
    <x v="1"/>
    <x v="19"/>
    <s v="Low"/>
    <n v="30"/>
  </r>
  <r>
    <s v="TXN1437"/>
    <s v="17-03-2025"/>
    <s v="10:44 AM"/>
    <s v="Onkar"/>
    <s v="Flipkart"/>
    <n v="2235"/>
    <s v="Bills"/>
    <x v="4"/>
    <s v="iPhone"/>
    <s v="Pending"/>
    <x v="5"/>
    <x v="1"/>
    <x v="11"/>
    <s v="Low"/>
    <n v="10"/>
  </r>
  <r>
    <s v="TXN1438"/>
    <s v="22-05-2025"/>
    <s v="12:18 PM"/>
    <s v="Tara"/>
    <s v="Unknown"/>
    <n v="3341"/>
    <s v="Bills"/>
    <x v="3"/>
    <s v="Android"/>
    <s v="Pending"/>
    <x v="5"/>
    <x v="1"/>
    <x v="12"/>
    <s v="Low"/>
    <n v="40"/>
  </r>
  <r>
    <s v="TXN1439"/>
    <s v="15-02-2025"/>
    <s v="04:48 PM"/>
    <s v="Eva"/>
    <s v="Uber"/>
    <n v="11425"/>
    <s v="Travel"/>
    <x v="3"/>
    <s v="iPhone"/>
    <s v="Success"/>
    <x v="0"/>
    <x v="1"/>
    <x v="5"/>
    <s v="Low"/>
    <n v="10"/>
  </r>
  <r>
    <s v="TXN1440"/>
    <s v="20-06-2025"/>
    <s v="03:51 PM"/>
    <s v="Yashvi"/>
    <s v="Myntra"/>
    <n v="11096"/>
    <s v="Recharge"/>
    <x v="6"/>
    <s v="Android"/>
    <s v="Failed"/>
    <x v="6"/>
    <x v="1"/>
    <x v="10"/>
    <s v="Low"/>
    <n v="30"/>
  </r>
  <r>
    <s v="TXN1441"/>
    <s v="07-02-2025"/>
    <s v="01:48 AM"/>
    <s v="Eshani"/>
    <s v="Unknown"/>
    <n v="27419"/>
    <s v="Transfer"/>
    <x v="7"/>
    <s v="iPhone"/>
    <s v="Failed"/>
    <x v="5"/>
    <x v="0"/>
    <x v="0"/>
    <s v="High"/>
    <n v="115"/>
  </r>
  <r>
    <s v="TXN1442"/>
    <s v="07-02-2025"/>
    <s v="03:02 PM"/>
    <s v="Oorja"/>
    <s v="Swiggy"/>
    <n v="11364"/>
    <s v="Travel"/>
    <x v="3"/>
    <s v="iPhone"/>
    <s v="Pending"/>
    <x v="6"/>
    <x v="1"/>
    <x v="10"/>
    <s v="Low"/>
    <n v="10"/>
  </r>
  <r>
    <s v="TXN1443"/>
    <s v="22-06-2025"/>
    <s v="01:35 PM"/>
    <s v="Advika"/>
    <s v="Uber"/>
    <n v="14219"/>
    <s v="Bills"/>
    <x v="2"/>
    <s v="Android"/>
    <s v="Pending"/>
    <x v="0"/>
    <x v="1"/>
    <x v="15"/>
    <s v="Low"/>
    <n v="10"/>
  </r>
  <r>
    <s v="TXN1444"/>
    <s v="15-03-2025"/>
    <s v="06:50 PM"/>
    <s v="Ojas"/>
    <s v="Flipkart"/>
    <n v="819"/>
    <s v="Bills"/>
    <x v="3"/>
    <s v="Android"/>
    <s v="Failed"/>
    <x v="6"/>
    <x v="1"/>
    <x v="20"/>
    <s v="Low"/>
    <n v="30"/>
  </r>
  <r>
    <s v="TXN1445"/>
    <s v="06-03-2025"/>
    <s v="08:58 PM"/>
    <s v="Diya"/>
    <s v="Myntra"/>
    <n v="14285"/>
    <s v="Bills"/>
    <x v="3"/>
    <s v="Android"/>
    <s v="Success"/>
    <x v="4"/>
    <x v="1"/>
    <x v="6"/>
    <s v="Low"/>
    <n v="10"/>
  </r>
  <r>
    <s v="TXN1446"/>
    <s v="19-02-2025"/>
    <s v="08:47 AM"/>
    <s v="Oorja"/>
    <s v="Swiggy"/>
    <n v="2956"/>
    <s v="Recharge"/>
    <x v="0"/>
    <s v="iPhone"/>
    <s v="Success"/>
    <x v="6"/>
    <x v="1"/>
    <x v="16"/>
    <s v="Low"/>
    <n v="10"/>
  </r>
  <r>
    <s v="TXN1447"/>
    <s v="13-03-2025"/>
    <s v="11:00 AM"/>
    <s v="Anay"/>
    <s v="Unknown"/>
    <n v="2181"/>
    <s v="Shopping"/>
    <x v="3"/>
    <s v="iPhone"/>
    <s v="Failed"/>
    <x v="5"/>
    <x v="1"/>
    <x v="4"/>
    <s v="Low"/>
    <n v="60"/>
  </r>
  <r>
    <s v="TXN1448"/>
    <s v="11-01-2025"/>
    <s v="07:39 AM"/>
    <s v="Sara"/>
    <s v="Myntra"/>
    <n v="5335"/>
    <s v="Travel"/>
    <x v="4"/>
    <s v="iPhone"/>
    <s v="Pending"/>
    <x v="4"/>
    <x v="1"/>
    <x v="17"/>
    <s v="Low"/>
    <n v="10"/>
  </r>
  <r>
    <s v="TXN1449"/>
    <s v="21-05-2025"/>
    <s v="04:11 PM"/>
    <s v="Rania"/>
    <s v="Unknown"/>
    <n v="12895"/>
    <s v="Travel"/>
    <x v="0"/>
    <s v="Android"/>
    <s v="Success"/>
    <x v="3"/>
    <x v="1"/>
    <x v="5"/>
    <s v="Low"/>
    <n v="40"/>
  </r>
  <r>
    <s v="TXN1450"/>
    <s v="18-05-2025"/>
    <s v="01:21 PM"/>
    <s v="Charvi"/>
    <s v="Swiggy"/>
    <n v="5774"/>
    <s v="Shopping"/>
    <x v="3"/>
    <s v="iPhone"/>
    <s v="Pending"/>
    <x v="2"/>
    <x v="1"/>
    <x v="15"/>
    <s v="Low"/>
    <n v="10"/>
  </r>
  <r>
    <s v="TXN1451"/>
    <s v="08-06-2025"/>
    <s v="06:22 AM"/>
    <s v="Misha"/>
    <s v="Amazon"/>
    <n v="9246"/>
    <s v="Travel"/>
    <x v="5"/>
    <s v="Android"/>
    <s v="Pending"/>
    <x v="5"/>
    <x v="1"/>
    <x v="1"/>
    <s v="Low"/>
    <n v="10"/>
  </r>
  <r>
    <s v="TXN1452"/>
    <s v="09-06-2025"/>
    <s v="04:24 PM"/>
    <s v="Kabir"/>
    <s v="Flipkart"/>
    <n v="703"/>
    <s v="Travel"/>
    <x v="4"/>
    <s v="iPhone"/>
    <s v="Success"/>
    <x v="6"/>
    <x v="1"/>
    <x v="5"/>
    <s v="Low"/>
    <n v="10"/>
  </r>
  <r>
    <s v="TXN1453"/>
    <s v="06-04-2025"/>
    <s v="08:18 PM"/>
    <s v="Tushar"/>
    <s v="Flipkart"/>
    <n v="8385"/>
    <s v="Food"/>
    <x v="1"/>
    <s v="iPhone"/>
    <s v="Success"/>
    <x v="0"/>
    <x v="1"/>
    <x v="6"/>
    <s v="Low"/>
    <n v="10"/>
  </r>
  <r>
    <s v="TXN1454"/>
    <s v="25-01-2025"/>
    <s v="06:13 AM"/>
    <s v="Tiya"/>
    <s v="Uber"/>
    <n v="12720"/>
    <s v="Food"/>
    <x v="1"/>
    <s v="iPhone"/>
    <s v="Success"/>
    <x v="4"/>
    <x v="1"/>
    <x v="1"/>
    <s v="Low"/>
    <n v="10"/>
  </r>
  <r>
    <s v="TXN1455"/>
    <s v="22-02-2025"/>
    <s v="07:47 PM"/>
    <s v="Arnav"/>
    <s v="Uber"/>
    <n v="11563"/>
    <s v="Bills"/>
    <x v="7"/>
    <s v="Android"/>
    <s v="Success"/>
    <x v="3"/>
    <x v="1"/>
    <x v="8"/>
    <s v="Low"/>
    <n v="10"/>
  </r>
  <r>
    <s v="TXN1456"/>
    <s v="26-03-2025"/>
    <s v="12:50 AM"/>
    <s v="Khushi"/>
    <s v="Unknown"/>
    <n v="29600"/>
    <s v="Shopping"/>
    <x v="4"/>
    <s v="Android"/>
    <s v="Success"/>
    <x v="0"/>
    <x v="0"/>
    <x v="13"/>
    <s v="High"/>
    <n v="95"/>
  </r>
  <r>
    <s v="TXN1457"/>
    <s v="08-03-2025"/>
    <s v="06:01 PM"/>
    <s v="Anaya"/>
    <s v="Flipkart"/>
    <n v="7441"/>
    <s v="Food"/>
    <x v="2"/>
    <s v="Android"/>
    <s v="Failed"/>
    <x v="0"/>
    <x v="1"/>
    <x v="20"/>
    <s v="Low"/>
    <n v="30"/>
  </r>
  <r>
    <s v="TXN1458"/>
    <s v="14-06-2025"/>
    <s v="07:22 AM"/>
    <s v="Aarav"/>
    <s v="Uber"/>
    <n v="1086"/>
    <s v="Bills"/>
    <x v="0"/>
    <s v="iPhone"/>
    <s v="Success"/>
    <x v="4"/>
    <x v="1"/>
    <x v="17"/>
    <s v="Low"/>
    <n v="10"/>
  </r>
  <r>
    <s v="TXN1459"/>
    <s v="19-03-2025"/>
    <s v="08:52 PM"/>
    <s v="Manjari"/>
    <s v="Flipkart"/>
    <n v="4662"/>
    <s v="Travel"/>
    <x v="6"/>
    <s v="iPhone"/>
    <s v="Failed"/>
    <x v="1"/>
    <x v="1"/>
    <x v="6"/>
    <s v="Low"/>
    <n v="30"/>
  </r>
  <r>
    <s v="TXN1460"/>
    <s v="26-02-2025"/>
    <s v="11:40 PM"/>
    <s v="Aarav"/>
    <s v="Unknown"/>
    <n v="71248"/>
    <s v="Bills"/>
    <x v="7"/>
    <s v="iPhone"/>
    <s v="Failed"/>
    <x v="5"/>
    <x v="0"/>
    <x v="21"/>
    <s v="High"/>
    <n v="100"/>
  </r>
  <r>
    <s v="TXN1461"/>
    <s v="15-06-2025"/>
    <s v="10:00 AM"/>
    <s v="Nitara"/>
    <s v="Amazon"/>
    <n v="232"/>
    <s v="Shopping"/>
    <x v="2"/>
    <s v="Android"/>
    <s v="Success"/>
    <x v="2"/>
    <x v="1"/>
    <x v="11"/>
    <s v="Low"/>
    <n v="10"/>
  </r>
  <r>
    <s v="TXN1462"/>
    <s v="30-03-2025"/>
    <s v="10:11 PM"/>
    <s v="Himmat"/>
    <s v="Swiggy"/>
    <n v="14887"/>
    <s v="Food"/>
    <x v="1"/>
    <s v="iPhone"/>
    <s v="Success"/>
    <x v="1"/>
    <x v="1"/>
    <x v="19"/>
    <s v="Low"/>
    <n v="10"/>
  </r>
  <r>
    <s v="TXN1463"/>
    <s v="16-02-2025"/>
    <s v="07:29 AM"/>
    <s v="Azad"/>
    <s v="Myntra"/>
    <n v="9344"/>
    <s v="Food"/>
    <x v="0"/>
    <s v="iPhone"/>
    <s v="Pending"/>
    <x v="5"/>
    <x v="1"/>
    <x v="17"/>
    <s v="Low"/>
    <n v="10"/>
  </r>
  <r>
    <s v="TXN1464"/>
    <s v="06-03-2025"/>
    <s v="02:08 AM"/>
    <s v="Rohan"/>
    <s v="Unknown"/>
    <n v="83857"/>
    <s v="Travel"/>
    <x v="1"/>
    <s v="Android"/>
    <s v="Failed"/>
    <x v="2"/>
    <x v="0"/>
    <x v="3"/>
    <s v="High"/>
    <n v="115"/>
  </r>
  <r>
    <s v="TXN1465"/>
    <s v="18-01-2025"/>
    <s v="09:39 PM"/>
    <s v="Sahil"/>
    <s v="Flipkart"/>
    <n v="5256"/>
    <s v="Travel"/>
    <x v="4"/>
    <s v="Android"/>
    <s v="Failed"/>
    <x v="0"/>
    <x v="1"/>
    <x v="14"/>
    <s v="Low"/>
    <n v="30"/>
  </r>
  <r>
    <s v="TXN1466"/>
    <s v="04-04-2025"/>
    <s v="11:15 AM"/>
    <s v="Elakshi"/>
    <s v="Amazon"/>
    <n v="7067"/>
    <s v="Transfer"/>
    <x v="1"/>
    <s v="iPhone"/>
    <s v="Failed"/>
    <x v="2"/>
    <x v="1"/>
    <x v="4"/>
    <s v="Low"/>
    <n v="30"/>
  </r>
  <r>
    <s v="TXN1467"/>
    <s v="04-02-2025"/>
    <s v="09:22 PM"/>
    <s v="Eshani"/>
    <s v="Flipkart"/>
    <n v="5482"/>
    <s v="Food"/>
    <x v="4"/>
    <s v="iPhone"/>
    <s v="Failed"/>
    <x v="0"/>
    <x v="1"/>
    <x v="14"/>
    <s v="Low"/>
    <n v="30"/>
  </r>
  <r>
    <s v="TXN1468"/>
    <s v="14-02-2025"/>
    <s v="02:57 PM"/>
    <s v="Ira"/>
    <s v="Myntra"/>
    <n v="1393"/>
    <s v="Bills"/>
    <x v="1"/>
    <s v="iPhone"/>
    <s v="Success"/>
    <x v="5"/>
    <x v="1"/>
    <x v="9"/>
    <s v="Low"/>
    <n v="10"/>
  </r>
  <r>
    <s v="TXN1469"/>
    <s v="20-01-2025"/>
    <s v="06:40 AM"/>
    <s v="Raghav"/>
    <s v="Myntra"/>
    <n v="14666"/>
    <s v="Travel"/>
    <x v="6"/>
    <s v="iPhone"/>
    <s v="Pending"/>
    <x v="4"/>
    <x v="1"/>
    <x v="1"/>
    <s v="Low"/>
    <n v="10"/>
  </r>
  <r>
    <s v="TXN1470"/>
    <s v="24-02-2025"/>
    <s v="02:30 PM"/>
    <s v="Mamooty"/>
    <s v="Unknown"/>
    <n v="9087"/>
    <s v="Shopping"/>
    <x v="7"/>
    <s v="iPhone"/>
    <s v="Pending"/>
    <x v="3"/>
    <x v="1"/>
    <x v="9"/>
    <s v="Low"/>
    <n v="40"/>
  </r>
  <r>
    <s v="TXN1471"/>
    <s v="31-05-2025"/>
    <s v="10:32 AM"/>
    <s v="Tiya"/>
    <s v="Flipkart"/>
    <n v="4817"/>
    <s v="Travel"/>
    <x v="0"/>
    <s v="iPhone"/>
    <s v="Pending"/>
    <x v="2"/>
    <x v="1"/>
    <x v="11"/>
    <s v="Low"/>
    <n v="10"/>
  </r>
  <r>
    <s v="TXN1472"/>
    <s v="03-01-2025"/>
    <s v="11:08 AM"/>
    <s v="Advik"/>
    <s v="Myntra"/>
    <n v="13943"/>
    <s v="Travel"/>
    <x v="5"/>
    <s v="Android"/>
    <s v="Pending"/>
    <x v="1"/>
    <x v="1"/>
    <x v="4"/>
    <s v="Low"/>
    <n v="10"/>
  </r>
  <r>
    <s v="TXN1473"/>
    <s v="25-05-2025"/>
    <s v="09:14 PM"/>
    <s v="Riaan"/>
    <s v="Zomato"/>
    <n v="2445"/>
    <s v="Transfer"/>
    <x v="5"/>
    <s v="Android"/>
    <s v="Success"/>
    <x v="6"/>
    <x v="1"/>
    <x v="14"/>
    <s v="Low"/>
    <n v="10"/>
  </r>
  <r>
    <s v="TXN1474"/>
    <s v="05-04-2025"/>
    <s v="12:24 PM"/>
    <s v="Pihu"/>
    <s v="Unknown"/>
    <n v="11004"/>
    <s v="Food"/>
    <x v="5"/>
    <s v="iPhone"/>
    <s v="Failed"/>
    <x v="6"/>
    <x v="1"/>
    <x v="12"/>
    <s v="Low"/>
    <n v="60"/>
  </r>
  <r>
    <s v="TXN1475"/>
    <s v="16-06-2025"/>
    <s v="10:53 PM"/>
    <s v="Azad"/>
    <s v="Uber"/>
    <n v="11580"/>
    <s v="Bills"/>
    <x v="4"/>
    <s v="Android"/>
    <s v="Failed"/>
    <x v="3"/>
    <x v="1"/>
    <x v="19"/>
    <s v="Low"/>
    <n v="30"/>
  </r>
  <r>
    <s v="TXN1476"/>
    <s v="07-04-2025"/>
    <s v="08:24 AM"/>
    <s v="Piya"/>
    <s v="Unknown"/>
    <n v="10754"/>
    <s v="Transfer"/>
    <x v="1"/>
    <s v="iPhone"/>
    <s v="Failed"/>
    <x v="2"/>
    <x v="1"/>
    <x v="16"/>
    <s v="Low"/>
    <n v="60"/>
  </r>
  <r>
    <s v="TXN1477"/>
    <s v="05-05-2025"/>
    <s v="06:28 AM"/>
    <s v="Suhana"/>
    <s v="Unknown"/>
    <n v="14585"/>
    <s v="Travel"/>
    <x v="7"/>
    <s v="Android"/>
    <s v="Success"/>
    <x v="6"/>
    <x v="1"/>
    <x v="1"/>
    <s v="Low"/>
    <n v="40"/>
  </r>
  <r>
    <s v="TXN1478"/>
    <s v="14-06-2025"/>
    <s v="11:38 AM"/>
    <s v="Nirvi"/>
    <s v="Swiggy"/>
    <n v="2511"/>
    <s v="Transfer"/>
    <x v="0"/>
    <s v="Android"/>
    <s v="Failed"/>
    <x v="3"/>
    <x v="1"/>
    <x v="4"/>
    <s v="Low"/>
    <n v="30"/>
  </r>
  <r>
    <s v="TXN1479"/>
    <s v="30-01-2025"/>
    <s v="09:10 PM"/>
    <s v="Chirag"/>
    <s v="Swiggy"/>
    <n v="7894"/>
    <s v="Food"/>
    <x v="2"/>
    <s v="Android"/>
    <s v="Pending"/>
    <x v="1"/>
    <x v="1"/>
    <x v="14"/>
    <s v="Low"/>
    <n v="10"/>
  </r>
  <r>
    <s v="TXN1480"/>
    <s v="02-02-2025"/>
    <s v="10:02 AM"/>
    <s v="Kismat"/>
    <s v="Uber"/>
    <n v="2689"/>
    <s v="Transfer"/>
    <x v="7"/>
    <s v="Android"/>
    <s v="Pending"/>
    <x v="1"/>
    <x v="1"/>
    <x v="11"/>
    <s v="Low"/>
    <n v="10"/>
  </r>
  <r>
    <s v="TXN1481"/>
    <s v="16-02-2025"/>
    <s v="06:42 AM"/>
    <s v="Mishti"/>
    <s v="Uber"/>
    <n v="6692"/>
    <s v="Recharge"/>
    <x v="4"/>
    <s v="Android"/>
    <s v="Pending"/>
    <x v="1"/>
    <x v="1"/>
    <x v="1"/>
    <s v="Low"/>
    <n v="10"/>
  </r>
  <r>
    <s v="TXN1482"/>
    <s v="05-06-2025"/>
    <s v="09:53 PM"/>
    <s v="Ojas"/>
    <s v="Swiggy"/>
    <n v="14259"/>
    <s v="Travel"/>
    <x v="2"/>
    <s v="Android"/>
    <s v="Success"/>
    <x v="4"/>
    <x v="1"/>
    <x v="14"/>
    <s v="Low"/>
    <n v="10"/>
  </r>
  <r>
    <s v="TXN1483"/>
    <s v="16-02-2025"/>
    <s v="02:43 PM"/>
    <s v="Onkar"/>
    <s v="Swiggy"/>
    <n v="8419"/>
    <s v="Travel"/>
    <x v="3"/>
    <s v="iPhone"/>
    <s v="Pending"/>
    <x v="0"/>
    <x v="1"/>
    <x v="9"/>
    <s v="Low"/>
    <n v="10"/>
  </r>
  <r>
    <s v="TXN1484"/>
    <s v="18-01-2025"/>
    <s v="10:12 AM"/>
    <s v="Chirag"/>
    <s v="Amazon"/>
    <n v="6365"/>
    <s v="Food"/>
    <x v="2"/>
    <s v="Android"/>
    <s v="Success"/>
    <x v="0"/>
    <x v="1"/>
    <x v="11"/>
    <s v="Low"/>
    <n v="10"/>
  </r>
  <r>
    <s v="TXN1485"/>
    <s v="15-02-2025"/>
    <s v="07:32 AM"/>
    <s v="Mohanlal"/>
    <s v="Myntra"/>
    <n v="10122"/>
    <s v="Bills"/>
    <x v="0"/>
    <s v="Android"/>
    <s v="Pending"/>
    <x v="3"/>
    <x v="1"/>
    <x v="17"/>
    <s v="Low"/>
    <n v="10"/>
  </r>
  <r>
    <s v="TXN1486"/>
    <s v="03-02-2025"/>
    <s v="06:41 AM"/>
    <s v="Arhaan"/>
    <s v="Myntra"/>
    <n v="8885"/>
    <s v="Food"/>
    <x v="2"/>
    <s v="iPhone"/>
    <s v="Pending"/>
    <x v="2"/>
    <x v="1"/>
    <x v="1"/>
    <s v="Low"/>
    <n v="10"/>
  </r>
  <r>
    <s v="TXN1487"/>
    <s v="28-06-2025"/>
    <s v="09:22 PM"/>
    <s v="Raghav"/>
    <s v="Myntra"/>
    <n v="3809"/>
    <s v="Transfer"/>
    <x v="0"/>
    <s v="iPhone"/>
    <s v="Failed"/>
    <x v="1"/>
    <x v="1"/>
    <x v="14"/>
    <s v="Low"/>
    <n v="30"/>
  </r>
  <r>
    <s v="TXN1488"/>
    <s v="03-05-2025"/>
    <s v="08:56 AM"/>
    <s v="Jiya"/>
    <s v="Zomato"/>
    <n v="14960"/>
    <s v="Food"/>
    <x v="2"/>
    <s v="iPhone"/>
    <s v="Pending"/>
    <x v="1"/>
    <x v="1"/>
    <x v="16"/>
    <s v="Low"/>
    <n v="10"/>
  </r>
  <r>
    <s v="TXN1489"/>
    <s v="02-01-2025"/>
    <s v="10:41 PM"/>
    <s v="Oorja"/>
    <s v="Amazon"/>
    <n v="1980"/>
    <s v="Transfer"/>
    <x v="1"/>
    <s v="iPhone"/>
    <s v="Failed"/>
    <x v="3"/>
    <x v="1"/>
    <x v="19"/>
    <s v="Low"/>
    <n v="30"/>
  </r>
  <r>
    <s v="TXN1490"/>
    <s v="28-01-2025"/>
    <s v="02:27 PM"/>
    <s v="Aarna"/>
    <s v="Zomato"/>
    <n v="10725"/>
    <s v="Recharge"/>
    <x v="3"/>
    <s v="iPhone"/>
    <s v="Pending"/>
    <x v="5"/>
    <x v="1"/>
    <x v="9"/>
    <s v="Low"/>
    <n v="10"/>
  </r>
  <r>
    <s v="TXN1491"/>
    <s v="22-02-2025"/>
    <s v="09:35 PM"/>
    <s v="Eshani"/>
    <s v="Swiggy"/>
    <n v="12891"/>
    <s v="Travel"/>
    <x v="5"/>
    <s v="iPhone"/>
    <s v="Failed"/>
    <x v="2"/>
    <x v="1"/>
    <x v="14"/>
    <s v="Low"/>
    <n v="30"/>
  </r>
  <r>
    <s v="TXN1492"/>
    <s v="30-03-2025"/>
    <s v="10:07 AM"/>
    <s v="Abram"/>
    <s v="Myntra"/>
    <n v="6572"/>
    <s v="Bills"/>
    <x v="1"/>
    <s v="iPhone"/>
    <s v="Pending"/>
    <x v="4"/>
    <x v="1"/>
    <x v="11"/>
    <s v="Low"/>
    <n v="10"/>
  </r>
  <r>
    <s v="TXN1493"/>
    <s v="11-02-2025"/>
    <s v="03:51 AM"/>
    <s v="Indrans"/>
    <s v="Unknown"/>
    <n v="86629"/>
    <s v="Bills"/>
    <x v="6"/>
    <s v="Android"/>
    <s v="Failed"/>
    <x v="3"/>
    <x v="0"/>
    <x v="18"/>
    <s v="High"/>
    <n v="115"/>
  </r>
  <r>
    <s v="TXN1494"/>
    <s v="02-01-2025"/>
    <s v="10:27 AM"/>
    <s v="Badal"/>
    <s v="Flipkart"/>
    <n v="13538"/>
    <s v="Shopping"/>
    <x v="0"/>
    <s v="Android"/>
    <s v="Pending"/>
    <x v="2"/>
    <x v="1"/>
    <x v="11"/>
    <s v="Low"/>
    <n v="10"/>
  </r>
  <r>
    <s v="TXN1495"/>
    <s v="05-04-2025"/>
    <s v="03:39 AM"/>
    <s v="Veer"/>
    <s v="Unknown"/>
    <n v="24948"/>
    <s v="Shopping"/>
    <x v="4"/>
    <s v="Android"/>
    <s v="Failed"/>
    <x v="4"/>
    <x v="0"/>
    <x v="18"/>
    <s v="High"/>
    <n v="115"/>
  </r>
  <r>
    <s v="TXN1496"/>
    <s v="13-06-2025"/>
    <s v="12:59 PM"/>
    <s v="Misha"/>
    <s v="Myntra"/>
    <n v="225"/>
    <s v="Travel"/>
    <x v="4"/>
    <s v="Android"/>
    <s v="Pending"/>
    <x v="6"/>
    <x v="1"/>
    <x v="12"/>
    <s v="Low"/>
    <n v="10"/>
  </r>
  <r>
    <s v="TXN1497"/>
    <s v="11-05-2025"/>
    <s v="11:23 AM"/>
    <s v="Kaira"/>
    <s v="Uber"/>
    <n v="3845"/>
    <s v="Food"/>
    <x v="1"/>
    <s v="Android"/>
    <s v="Success"/>
    <x v="1"/>
    <x v="1"/>
    <x v="4"/>
    <s v="Low"/>
    <n v="10"/>
  </r>
  <r>
    <s v="TXN1498"/>
    <s v="12-03-2025"/>
    <s v="06:12 PM"/>
    <s v="Aayush"/>
    <s v="Flipkart"/>
    <n v="5835"/>
    <s v="Travel"/>
    <x v="6"/>
    <s v="Android"/>
    <s v="Pending"/>
    <x v="6"/>
    <x v="1"/>
    <x v="20"/>
    <s v="Low"/>
    <n v="10"/>
  </r>
  <r>
    <s v="TXN1499"/>
    <s v="14-03-2025"/>
    <s v="05:14 PM"/>
    <s v="Anaya"/>
    <s v="Zomato"/>
    <n v="9210"/>
    <s v="Travel"/>
    <x v="1"/>
    <s v="iPhone"/>
    <s v="Failed"/>
    <x v="3"/>
    <x v="1"/>
    <x v="7"/>
    <s v="Low"/>
    <n v="30"/>
  </r>
  <r>
    <s v="TXN1500"/>
    <s v="02-01-2025"/>
    <s v="10:04 PM"/>
    <s v="Jivika"/>
    <s v="Amazon"/>
    <n v="6720"/>
    <s v="Travel"/>
    <x v="4"/>
    <s v="iPhone"/>
    <s v="Pending"/>
    <x v="6"/>
    <x v="1"/>
    <x v="19"/>
    <s v="Low"/>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chartFormat="10" rowHeaderCaption="Fraud_Flag">
  <location ref="A1:B4" firstHeaderRow="1" firstDataRow="1" firstDataCol="1"/>
  <pivotFields count="1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8">
        <item x="0"/>
        <item x="7"/>
        <item x="4"/>
        <item x="6"/>
        <item x="2"/>
        <item x="1"/>
        <item x="3"/>
        <item x="5"/>
      </items>
    </pivotField>
    <pivotField compact="0" outline="0" showAll="0" defaultSubtotal="0"/>
    <pivotField compact="0" outline="0" showAll="0" defaultSubtotal="0"/>
    <pivotField compact="0" outline="0" showAll="0" defaultSubtotal="0">
      <items count="7">
        <item x="3"/>
        <item x="4"/>
        <item x="1"/>
        <item x="2"/>
        <item x="0"/>
        <item x="5"/>
        <item x="6"/>
      </items>
    </pivotField>
    <pivotField axis="axisRow" dataField="1" compact="0" outline="0" showAll="0" defaultSubtotal="0">
      <items count="2">
        <item x="1"/>
        <item x="0"/>
      </items>
    </pivotField>
    <pivotField compact="0" outline="0" showAll="0" defaultSubtotal="0">
      <items count="22">
        <item x="13"/>
        <item x="0"/>
        <item x="3"/>
        <item x="18"/>
        <item x="1"/>
        <item x="17"/>
        <item x="16"/>
        <item x="2"/>
        <item x="11"/>
        <item x="4"/>
        <item x="12"/>
        <item x="15"/>
        <item x="9"/>
        <item x="10"/>
        <item x="5"/>
        <item x="7"/>
        <item x="20"/>
        <item x="8"/>
        <item x="6"/>
        <item x="14"/>
        <item x="19"/>
        <item x="21"/>
      </items>
    </pivotField>
    <pivotField compact="0" outline="0" showAll="0" defaultSubtotal="0"/>
    <pivotField compact="0" outline="0" showAll="0" defaultSubtotal="0"/>
  </pivotFields>
  <rowFields count="1">
    <field x="11"/>
  </rowFields>
  <rowItems count="3">
    <i>
      <x/>
    </i>
    <i>
      <x v="1"/>
    </i>
    <i t="grand">
      <x/>
    </i>
  </rowItems>
  <colItems count="1">
    <i/>
  </colItems>
  <dataFields count="1">
    <dataField name="Count of Fraud_Flag"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0" applyNumberFormats="0" applyBorderFormats="0" applyFontFormats="0" applyPatternFormats="0" applyAlignmentFormats="0" applyWidthHeightFormats="1" dataCaption="Values" updatedVersion="3" minRefreshableVersion="3" showCalcMbrs="0" useAutoFormatting="1" itemPrintTitles="1" createdVersion="3" indent="0" compact="0" compactData="0" multipleFieldFilters="0" chartFormat="9">
  <location ref="J3:K9" firstHeaderRow="1" firstDataRow="1" firstDataCol="1" rowPageCount="1" colPageCount="1"/>
  <pivotFields count="1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2">
        <item x="1"/>
        <item x="0"/>
      </items>
    </pivotField>
    <pivotField axis="axisRow" compact="0" outline="0" showAll="0" defaultSubtotal="0">
      <items count="22">
        <item x="13"/>
        <item x="0"/>
        <item x="3"/>
        <item x="18"/>
        <item x="1"/>
        <item x="17"/>
        <item x="16"/>
        <item x="2"/>
        <item x="11"/>
        <item x="4"/>
        <item x="12"/>
        <item x="15"/>
        <item x="9"/>
        <item x="10"/>
        <item x="5"/>
        <item x="7"/>
        <item x="20"/>
        <item x="8"/>
        <item x="6"/>
        <item x="14"/>
        <item x="19"/>
        <item x="21"/>
      </items>
    </pivotField>
    <pivotField compact="0" outline="0" showAll="0" defaultSubtotal="0"/>
    <pivotField compact="0" outline="0" showAll="0" defaultSubtotal="0"/>
  </pivotFields>
  <rowFields count="1">
    <field x="12"/>
  </rowFields>
  <rowItems count="6">
    <i>
      <x/>
    </i>
    <i>
      <x v="1"/>
    </i>
    <i>
      <x v="2"/>
    </i>
    <i>
      <x v="3"/>
    </i>
    <i>
      <x v="21"/>
    </i>
    <i t="grand">
      <x/>
    </i>
  </rowItems>
  <colItems count="1">
    <i/>
  </colItems>
  <pageFields count="1">
    <pageField fld="11" item="1" hier="-1"/>
  </pageFields>
  <dataFields count="1">
    <dataField name="Count of Transaction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compact="0" compactData="0" multipleFieldFilters="0" chartFormat="11" rowHeaderCaption="Location">
  <location ref="G3:H12" firstHeaderRow="1" firstDataRow="1" firstDataCol="1" rowPageCount="1" colPageCount="1"/>
  <pivotFields count="15">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0"/>
        <item x="7"/>
        <item x="4"/>
        <item x="6"/>
        <item x="2"/>
        <item x="1"/>
        <item x="3"/>
        <item x="5"/>
        <item t="default"/>
      </items>
    </pivotField>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s>
  <rowFields count="1">
    <field x="7"/>
  </rowFields>
  <rowItems count="9">
    <i>
      <x/>
    </i>
    <i>
      <x v="1"/>
    </i>
    <i>
      <x v="2"/>
    </i>
    <i>
      <x v="3"/>
    </i>
    <i>
      <x v="4"/>
    </i>
    <i>
      <x v="5"/>
    </i>
    <i>
      <x v="6"/>
    </i>
    <i>
      <x v="7"/>
    </i>
    <i t="grand">
      <x/>
    </i>
  </rowItems>
  <colItems count="1">
    <i/>
  </colItems>
  <pageFields count="1">
    <pageField fld="11" item="1" hier="-1"/>
  </pageFields>
  <dataFields count="1">
    <dataField name="Count of Transaction_I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compact="0" compactData="0" multipleFieldFilters="0" chartFormat="9" rowHeaderCaption="Bank_Name">
  <location ref="D3:E11" firstHeaderRow="1" firstDataRow="1" firstDataCol="1" rowPageCount="1" colPageCount="1"/>
  <pivotFields count="15">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3"/>
        <item x="4"/>
        <item x="1"/>
        <item x="2"/>
        <item x="0"/>
        <item x="5"/>
        <item x="6"/>
        <item t="default"/>
      </items>
    </pivotField>
    <pivotField axis="axisPage" compact="0" outline="0" showAll="0">
      <items count="3">
        <item x="1"/>
        <item x="0"/>
        <item t="default"/>
      </items>
    </pivotField>
    <pivotField compact="0" outline="0" showAll="0"/>
    <pivotField compact="0" outline="0" showAll="0"/>
    <pivotField compact="0" outline="0" showAll="0"/>
  </pivotFields>
  <rowFields count="1">
    <field x="10"/>
  </rowFields>
  <rowItems count="8">
    <i>
      <x/>
    </i>
    <i>
      <x v="1"/>
    </i>
    <i>
      <x v="2"/>
    </i>
    <i>
      <x v="3"/>
    </i>
    <i>
      <x v="4"/>
    </i>
    <i>
      <x v="5"/>
    </i>
    <i>
      <x v="6"/>
    </i>
    <i t="grand">
      <x/>
    </i>
  </rowItems>
  <colItems count="1">
    <i/>
  </colItems>
  <pageFields count="1">
    <pageField fld="11" item="1" hier="-1"/>
  </pageFields>
  <dataFields count="1">
    <dataField name="Count of Transaction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57718414-2A33-49F7-B831-6C0549940327}" sourceName="Bank_Name">
  <pivotTables>
    <pivotTable tabId="3" name="PivotTable2"/>
  </pivotTables>
  <data>
    <tabular pivotCacheId="1464971814">
      <items count="7">
        <i x="3" s="1"/>
        <i x="4" s="1"/>
        <i x="1" s="1"/>
        <i x="2" s="1"/>
        <i x="0"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4F07790-1F3B-47F9-8BEB-8FA5B221FF44}" sourceName="Location">
  <pivotTables>
    <pivotTable tabId="3" name="PivotTable2"/>
  </pivotTables>
  <data>
    <tabular pivotCacheId="1464971814">
      <items count="8">
        <i x="0" s="1"/>
        <i x="7" s="1"/>
        <i x="4" s="1"/>
        <i x="6" s="1"/>
        <i x="2" s="1"/>
        <i x="1"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F84B064E-6A72-4F27-B565-BD031CF78765}" sourceName="Hour">
  <pivotTables>
    <pivotTable tabId="3" name="PivotTable2"/>
  </pivotTables>
  <data>
    <tabular pivotCacheId="1464971814">
      <items count="22">
        <i x="13" s="1"/>
        <i x="0" s="1"/>
        <i x="3" s="1"/>
        <i x="18" s="1"/>
        <i x="1" s="1"/>
        <i x="17" s="1"/>
        <i x="16" s="1"/>
        <i x="2" s="1"/>
        <i x="11" s="1"/>
        <i x="4" s="1"/>
        <i x="12" s="1"/>
        <i x="15" s="1"/>
        <i x="9" s="1"/>
        <i x="10" s="1"/>
        <i x="5" s="1"/>
        <i x="7" s="1"/>
        <i x="20" s="1"/>
        <i x="8" s="1"/>
        <i x="6" s="1"/>
        <i x="14" s="1"/>
        <i x="19"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Name" xr10:uid="{A5681E50-56C4-4307-AD84-98A4DB9FE2CD}" cache="Slicer_Bank_Name" caption="Bank_Name" rowHeight="234950"/>
  <slicer name="Location" xr10:uid="{EB22B5B2-FA28-43AE-BF94-B577F6768006}" cache="Slicer_Location" caption="Location" rowHeight="234950"/>
  <slicer name="Hour" xr10:uid="{616373BF-8E13-4785-8D5C-8CACEEA47416}" cache="Slicer_Hour" caption="Hou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501" totalsRowShown="0">
  <autoFilter ref="A1:O501" xr:uid="{00000000-0009-0000-0100-000001000000}"/>
  <tableColumns count="15">
    <tableColumn id="1" xr3:uid="{00000000-0010-0000-0000-000001000000}" name="Transaction_ID"/>
    <tableColumn id="2" xr3:uid="{00000000-0010-0000-0000-000002000000}" name="Date"/>
    <tableColumn id="3" xr3:uid="{00000000-0010-0000-0000-000003000000}" name="Time"/>
    <tableColumn id="4" xr3:uid="{00000000-0010-0000-0000-000004000000}" name="Sender_Name"/>
    <tableColumn id="5" xr3:uid="{00000000-0010-0000-0000-000005000000}" name="Receiver_Name"/>
    <tableColumn id="6" xr3:uid="{00000000-0010-0000-0000-000006000000}" name="Amount"/>
    <tableColumn id="7" xr3:uid="{00000000-0010-0000-0000-000007000000}" name="Transaction_Type"/>
    <tableColumn id="8" xr3:uid="{00000000-0010-0000-0000-000008000000}" name="Location"/>
    <tableColumn id="9" xr3:uid="{00000000-0010-0000-0000-000009000000}" name="Device_Type"/>
    <tableColumn id="10" xr3:uid="{00000000-0010-0000-0000-00000A000000}" name="Transaction_Status"/>
    <tableColumn id="11" xr3:uid="{00000000-0010-0000-0000-00000B000000}" name="Bank_Name"/>
    <tableColumn id="12" xr3:uid="{00000000-0010-0000-0000-00000C000000}" name="Fraud_Flag"/>
    <tableColumn id="13" xr3:uid="{00000000-0010-0000-0000-00000D000000}" name="Hour" dataDxfId="2">
      <calculatedColumnFormula>HOUR(C2)</calculatedColumnFormula>
    </tableColumn>
    <tableColumn id="14" xr3:uid="{00000000-0010-0000-0000-00000E000000}" name="Risk_Level" dataDxfId="1">
      <calculatedColumnFormula>IF(L2="Yes","High","Low")</calculatedColumnFormula>
    </tableColumn>
    <tableColumn id="15" xr3:uid="{00000000-0010-0000-0000-00000F000000}" name="Fraud_Score" dataDxfId="0">
      <calculatedColumnFormula>IF(F2&gt;20000,50,10)+IF(J2="Failed",20,0)+IF(E2="Unknown",30,0)+IF(M2&lt;5,15,0)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A482" workbookViewId="0">
      <selection activeCell="M10" sqref="M10"/>
    </sheetView>
  </sheetViews>
  <sheetFormatPr defaultRowHeight="14.4" x14ac:dyDescent="0.3"/>
  <cols>
    <col min="1" max="1" width="10.5546875" customWidth="1"/>
    <col min="2" max="2" width="11" customWidth="1"/>
    <col min="3" max="3" width="9.6640625" customWidth="1"/>
    <col min="4" max="4" width="9" customWidth="1"/>
    <col min="5" max="5" width="9.109375" customWidth="1"/>
    <col min="6" max="6" width="10.6640625" customWidth="1"/>
    <col min="7" max="7" width="11.33203125" customWidth="1"/>
    <col min="8" max="8" width="12.44140625" customWidth="1"/>
    <col min="9" max="9" width="10" customWidth="1"/>
    <col min="10" max="11" width="12.109375"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56048</v>
      </c>
      <c r="G2" t="s">
        <v>17</v>
      </c>
      <c r="H2" t="s">
        <v>18</v>
      </c>
      <c r="I2" t="s">
        <v>19</v>
      </c>
      <c r="J2" t="s">
        <v>20</v>
      </c>
      <c r="K2" t="s">
        <v>21</v>
      </c>
      <c r="L2" t="s">
        <v>22</v>
      </c>
    </row>
    <row r="3" spans="1:12" x14ac:dyDescent="0.3">
      <c r="A3" t="s">
        <v>23</v>
      </c>
      <c r="B3" t="s">
        <v>24</v>
      </c>
      <c r="C3" t="s">
        <v>25</v>
      </c>
      <c r="D3" t="s">
        <v>26</v>
      </c>
      <c r="E3" t="s">
        <v>16</v>
      </c>
      <c r="F3">
        <v>48657</v>
      </c>
      <c r="G3" t="s">
        <v>17</v>
      </c>
      <c r="H3" t="s">
        <v>27</v>
      </c>
      <c r="I3" t="s">
        <v>28</v>
      </c>
      <c r="J3" t="s">
        <v>20</v>
      </c>
      <c r="K3" t="s">
        <v>29</v>
      </c>
      <c r="L3" t="s">
        <v>22</v>
      </c>
    </row>
    <row r="4" spans="1:12" x14ac:dyDescent="0.3">
      <c r="A4" t="s">
        <v>30</v>
      </c>
      <c r="B4" t="s">
        <v>31</v>
      </c>
      <c r="C4" t="s">
        <v>32</v>
      </c>
      <c r="D4" t="s">
        <v>33</v>
      </c>
      <c r="E4" t="s">
        <v>34</v>
      </c>
      <c r="F4">
        <v>14292</v>
      </c>
      <c r="G4" t="s">
        <v>35</v>
      </c>
      <c r="H4" t="s">
        <v>36</v>
      </c>
      <c r="I4" t="s">
        <v>28</v>
      </c>
      <c r="J4" t="s">
        <v>20</v>
      </c>
      <c r="K4" t="s">
        <v>37</v>
      </c>
      <c r="L4" t="s">
        <v>38</v>
      </c>
    </row>
    <row r="5" spans="1:12" x14ac:dyDescent="0.3">
      <c r="A5" t="s">
        <v>39</v>
      </c>
      <c r="B5" t="s">
        <v>40</v>
      </c>
      <c r="C5" t="s">
        <v>41</v>
      </c>
      <c r="D5" t="s">
        <v>42</v>
      </c>
      <c r="E5" t="s">
        <v>43</v>
      </c>
      <c r="F5">
        <v>5564</v>
      </c>
      <c r="G5" t="s">
        <v>44</v>
      </c>
      <c r="H5" t="s">
        <v>45</v>
      </c>
      <c r="I5" t="s">
        <v>28</v>
      </c>
      <c r="J5" t="s">
        <v>46</v>
      </c>
      <c r="K5" t="s">
        <v>21</v>
      </c>
      <c r="L5" t="s">
        <v>38</v>
      </c>
    </row>
    <row r="6" spans="1:12" x14ac:dyDescent="0.3">
      <c r="A6" t="s">
        <v>47</v>
      </c>
      <c r="B6" t="s">
        <v>48</v>
      </c>
      <c r="C6" t="s">
        <v>49</v>
      </c>
      <c r="D6" t="s">
        <v>50</v>
      </c>
      <c r="E6" t="s">
        <v>51</v>
      </c>
      <c r="F6">
        <v>8835</v>
      </c>
      <c r="G6" t="s">
        <v>35</v>
      </c>
      <c r="H6" t="s">
        <v>52</v>
      </c>
      <c r="I6" t="s">
        <v>28</v>
      </c>
      <c r="J6" t="s">
        <v>20</v>
      </c>
      <c r="K6" t="s">
        <v>21</v>
      </c>
      <c r="L6" t="s">
        <v>38</v>
      </c>
    </row>
    <row r="7" spans="1:12" x14ac:dyDescent="0.3">
      <c r="A7" t="s">
        <v>53</v>
      </c>
      <c r="B7" t="s">
        <v>54</v>
      </c>
      <c r="C7" t="s">
        <v>55</v>
      </c>
      <c r="D7" t="s">
        <v>56</v>
      </c>
      <c r="E7" t="s">
        <v>16</v>
      </c>
      <c r="F7">
        <v>49871</v>
      </c>
      <c r="G7" t="s">
        <v>44</v>
      </c>
      <c r="H7" t="s">
        <v>27</v>
      </c>
      <c r="I7" t="s">
        <v>19</v>
      </c>
      <c r="J7" t="s">
        <v>20</v>
      </c>
      <c r="K7" t="s">
        <v>57</v>
      </c>
      <c r="L7" t="s">
        <v>22</v>
      </c>
    </row>
    <row r="8" spans="1:12" x14ac:dyDescent="0.3">
      <c r="A8" t="s">
        <v>58</v>
      </c>
      <c r="B8" t="s">
        <v>59</v>
      </c>
      <c r="C8" t="s">
        <v>60</v>
      </c>
      <c r="D8" t="s">
        <v>61</v>
      </c>
      <c r="E8" t="s">
        <v>62</v>
      </c>
      <c r="F8">
        <v>6027</v>
      </c>
      <c r="G8" t="s">
        <v>63</v>
      </c>
      <c r="H8" t="s">
        <v>52</v>
      </c>
      <c r="I8" t="s">
        <v>19</v>
      </c>
      <c r="J8" t="s">
        <v>46</v>
      </c>
      <c r="K8" t="s">
        <v>21</v>
      </c>
      <c r="L8" t="s">
        <v>38</v>
      </c>
    </row>
    <row r="9" spans="1:12" x14ac:dyDescent="0.3">
      <c r="A9" t="s">
        <v>64</v>
      </c>
      <c r="B9" t="s">
        <v>65</v>
      </c>
      <c r="C9" t="s">
        <v>66</v>
      </c>
      <c r="D9" t="s">
        <v>67</v>
      </c>
      <c r="E9" t="s">
        <v>51</v>
      </c>
      <c r="F9">
        <v>4060</v>
      </c>
      <c r="G9" t="s">
        <v>68</v>
      </c>
      <c r="H9" t="s">
        <v>27</v>
      </c>
      <c r="I9" t="s">
        <v>28</v>
      </c>
      <c r="J9" t="s">
        <v>46</v>
      </c>
      <c r="K9" t="s">
        <v>69</v>
      </c>
      <c r="L9" t="s">
        <v>38</v>
      </c>
    </row>
    <row r="10" spans="1:12" x14ac:dyDescent="0.3">
      <c r="A10" t="s">
        <v>70</v>
      </c>
      <c r="B10" t="s">
        <v>71</v>
      </c>
      <c r="C10" t="s">
        <v>72</v>
      </c>
      <c r="D10" t="s">
        <v>73</v>
      </c>
      <c r="E10" t="s">
        <v>51</v>
      </c>
      <c r="F10">
        <v>13239</v>
      </c>
      <c r="G10" t="s">
        <v>63</v>
      </c>
      <c r="H10" t="s">
        <v>27</v>
      </c>
      <c r="I10" t="s">
        <v>28</v>
      </c>
      <c r="J10" t="s">
        <v>46</v>
      </c>
      <c r="K10" t="s">
        <v>29</v>
      </c>
      <c r="L10" t="s">
        <v>38</v>
      </c>
    </row>
    <row r="11" spans="1:12" x14ac:dyDescent="0.3">
      <c r="A11" t="s">
        <v>74</v>
      </c>
      <c r="B11" t="s">
        <v>75</v>
      </c>
      <c r="C11" t="s">
        <v>76</v>
      </c>
      <c r="D11" t="s">
        <v>77</v>
      </c>
      <c r="E11" t="s">
        <v>78</v>
      </c>
      <c r="F11">
        <v>10582</v>
      </c>
      <c r="G11" t="s">
        <v>79</v>
      </c>
      <c r="H11" t="s">
        <v>27</v>
      </c>
      <c r="I11" t="s">
        <v>28</v>
      </c>
      <c r="J11" t="s">
        <v>46</v>
      </c>
      <c r="K11" t="s">
        <v>80</v>
      </c>
      <c r="L11" t="s">
        <v>38</v>
      </c>
    </row>
    <row r="12" spans="1:12" x14ac:dyDescent="0.3">
      <c r="A12" t="s">
        <v>81</v>
      </c>
      <c r="B12" t="s">
        <v>82</v>
      </c>
      <c r="C12" t="s">
        <v>83</v>
      </c>
      <c r="D12" t="s">
        <v>84</v>
      </c>
      <c r="E12" t="s">
        <v>78</v>
      </c>
      <c r="F12">
        <v>6593</v>
      </c>
      <c r="G12" t="s">
        <v>68</v>
      </c>
      <c r="H12" t="s">
        <v>85</v>
      </c>
      <c r="I12" t="s">
        <v>19</v>
      </c>
      <c r="J12" t="s">
        <v>20</v>
      </c>
      <c r="K12" t="s">
        <v>69</v>
      </c>
      <c r="L12" t="s">
        <v>38</v>
      </c>
    </row>
    <row r="13" spans="1:12" x14ac:dyDescent="0.3">
      <c r="A13" t="s">
        <v>86</v>
      </c>
      <c r="B13" t="s">
        <v>87</v>
      </c>
      <c r="C13" t="s">
        <v>88</v>
      </c>
      <c r="D13" t="s">
        <v>89</v>
      </c>
      <c r="E13" t="s">
        <v>16</v>
      </c>
      <c r="F13">
        <v>2671</v>
      </c>
      <c r="G13" t="s">
        <v>44</v>
      </c>
      <c r="H13" t="s">
        <v>36</v>
      </c>
      <c r="I13" t="s">
        <v>28</v>
      </c>
      <c r="J13" t="s">
        <v>20</v>
      </c>
      <c r="K13" t="s">
        <v>21</v>
      </c>
      <c r="L13" t="s">
        <v>38</v>
      </c>
    </row>
    <row r="14" spans="1:12" x14ac:dyDescent="0.3">
      <c r="A14" t="s">
        <v>90</v>
      </c>
      <c r="B14" t="s">
        <v>91</v>
      </c>
      <c r="C14" t="s">
        <v>92</v>
      </c>
      <c r="D14" t="s">
        <v>93</v>
      </c>
      <c r="E14" t="s">
        <v>94</v>
      </c>
      <c r="F14">
        <v>238</v>
      </c>
      <c r="G14" t="s">
        <v>44</v>
      </c>
      <c r="H14" t="s">
        <v>52</v>
      </c>
      <c r="I14" t="s">
        <v>28</v>
      </c>
      <c r="J14" t="s">
        <v>95</v>
      </c>
      <c r="K14" t="s">
        <v>96</v>
      </c>
      <c r="L14" t="s">
        <v>38</v>
      </c>
    </row>
    <row r="15" spans="1:12" x14ac:dyDescent="0.3">
      <c r="A15" t="s">
        <v>97</v>
      </c>
      <c r="B15" t="s">
        <v>98</v>
      </c>
      <c r="C15" t="s">
        <v>99</v>
      </c>
      <c r="D15" t="s">
        <v>100</v>
      </c>
      <c r="E15" t="s">
        <v>16</v>
      </c>
      <c r="F15">
        <v>103</v>
      </c>
      <c r="G15" t="s">
        <v>63</v>
      </c>
      <c r="H15" t="s">
        <v>18</v>
      </c>
      <c r="I15" t="s">
        <v>28</v>
      </c>
      <c r="J15" t="s">
        <v>20</v>
      </c>
      <c r="K15" t="s">
        <v>69</v>
      </c>
      <c r="L15" t="s">
        <v>38</v>
      </c>
    </row>
    <row r="16" spans="1:12" x14ac:dyDescent="0.3">
      <c r="A16" t="s">
        <v>101</v>
      </c>
      <c r="B16" t="s">
        <v>102</v>
      </c>
      <c r="C16" t="s">
        <v>103</v>
      </c>
      <c r="D16" t="s">
        <v>104</v>
      </c>
      <c r="E16" t="s">
        <v>34</v>
      </c>
      <c r="F16">
        <v>2554</v>
      </c>
      <c r="G16" t="s">
        <v>68</v>
      </c>
      <c r="H16" t="s">
        <v>105</v>
      </c>
      <c r="I16" t="s">
        <v>28</v>
      </c>
      <c r="J16" t="s">
        <v>20</v>
      </c>
      <c r="K16" t="s">
        <v>57</v>
      </c>
      <c r="L16" t="s">
        <v>38</v>
      </c>
    </row>
    <row r="17" spans="1:12" x14ac:dyDescent="0.3">
      <c r="A17" t="s">
        <v>106</v>
      </c>
      <c r="B17" t="s">
        <v>87</v>
      </c>
      <c r="C17" t="s">
        <v>107</v>
      </c>
      <c r="D17" t="s">
        <v>108</v>
      </c>
      <c r="E17" t="s">
        <v>78</v>
      </c>
      <c r="F17">
        <v>14446</v>
      </c>
      <c r="G17" t="s">
        <v>17</v>
      </c>
      <c r="H17" t="s">
        <v>18</v>
      </c>
      <c r="I17" t="s">
        <v>19</v>
      </c>
      <c r="J17" t="s">
        <v>20</v>
      </c>
      <c r="K17" t="s">
        <v>80</v>
      </c>
      <c r="L17" t="s">
        <v>38</v>
      </c>
    </row>
    <row r="18" spans="1:12" x14ac:dyDescent="0.3">
      <c r="A18" t="s">
        <v>109</v>
      </c>
      <c r="B18" t="s">
        <v>110</v>
      </c>
      <c r="C18" t="s">
        <v>111</v>
      </c>
      <c r="D18" t="s">
        <v>112</v>
      </c>
      <c r="E18" t="s">
        <v>78</v>
      </c>
      <c r="F18">
        <v>8777</v>
      </c>
      <c r="G18" t="s">
        <v>79</v>
      </c>
      <c r="H18" t="s">
        <v>113</v>
      </c>
      <c r="I18" t="s">
        <v>28</v>
      </c>
      <c r="J18" t="s">
        <v>95</v>
      </c>
      <c r="K18" t="s">
        <v>21</v>
      </c>
      <c r="L18" t="s">
        <v>38</v>
      </c>
    </row>
    <row r="19" spans="1:12" x14ac:dyDescent="0.3">
      <c r="A19" t="s">
        <v>114</v>
      </c>
      <c r="B19" t="s">
        <v>115</v>
      </c>
      <c r="C19" t="s">
        <v>116</v>
      </c>
      <c r="D19" t="s">
        <v>117</v>
      </c>
      <c r="E19" t="s">
        <v>94</v>
      </c>
      <c r="F19">
        <v>8885</v>
      </c>
      <c r="G19" t="s">
        <v>17</v>
      </c>
      <c r="H19" t="s">
        <v>45</v>
      </c>
      <c r="I19" t="s">
        <v>28</v>
      </c>
      <c r="J19" t="s">
        <v>46</v>
      </c>
      <c r="K19" t="s">
        <v>21</v>
      </c>
      <c r="L19" t="s">
        <v>38</v>
      </c>
    </row>
    <row r="20" spans="1:12" x14ac:dyDescent="0.3">
      <c r="A20" t="s">
        <v>118</v>
      </c>
      <c r="B20" t="s">
        <v>119</v>
      </c>
      <c r="C20" t="s">
        <v>120</v>
      </c>
      <c r="D20" t="s">
        <v>121</v>
      </c>
      <c r="E20" t="s">
        <v>43</v>
      </c>
      <c r="F20">
        <v>1099</v>
      </c>
      <c r="G20" t="s">
        <v>68</v>
      </c>
      <c r="H20" t="s">
        <v>27</v>
      </c>
      <c r="I20" t="s">
        <v>19</v>
      </c>
      <c r="J20" t="s">
        <v>95</v>
      </c>
      <c r="K20" t="s">
        <v>96</v>
      </c>
      <c r="L20" t="s">
        <v>38</v>
      </c>
    </row>
    <row r="21" spans="1:12" x14ac:dyDescent="0.3">
      <c r="A21" t="s">
        <v>122</v>
      </c>
      <c r="B21" t="s">
        <v>123</v>
      </c>
      <c r="C21" t="s">
        <v>124</v>
      </c>
      <c r="D21" t="s">
        <v>125</v>
      </c>
      <c r="E21" t="s">
        <v>16</v>
      </c>
      <c r="F21">
        <v>28834</v>
      </c>
      <c r="G21" t="s">
        <v>17</v>
      </c>
      <c r="H21" t="s">
        <v>27</v>
      </c>
      <c r="I21" t="s">
        <v>28</v>
      </c>
      <c r="J21" t="s">
        <v>46</v>
      </c>
      <c r="K21" t="s">
        <v>80</v>
      </c>
      <c r="L21" t="s">
        <v>22</v>
      </c>
    </row>
    <row r="22" spans="1:12" x14ac:dyDescent="0.3">
      <c r="A22" t="s">
        <v>126</v>
      </c>
      <c r="B22" t="s">
        <v>127</v>
      </c>
      <c r="C22" t="s">
        <v>128</v>
      </c>
      <c r="D22" t="s">
        <v>129</v>
      </c>
      <c r="E22" t="s">
        <v>78</v>
      </c>
      <c r="F22">
        <v>11901</v>
      </c>
      <c r="G22" t="s">
        <v>68</v>
      </c>
      <c r="H22" t="s">
        <v>36</v>
      </c>
      <c r="I22" t="s">
        <v>19</v>
      </c>
      <c r="J22" t="s">
        <v>46</v>
      </c>
      <c r="K22" t="s">
        <v>96</v>
      </c>
      <c r="L22" t="s">
        <v>38</v>
      </c>
    </row>
    <row r="23" spans="1:12" x14ac:dyDescent="0.3">
      <c r="A23" t="s">
        <v>130</v>
      </c>
      <c r="B23" t="s">
        <v>131</v>
      </c>
      <c r="C23" t="s">
        <v>132</v>
      </c>
      <c r="D23" t="s">
        <v>133</v>
      </c>
      <c r="E23" t="s">
        <v>51</v>
      </c>
      <c r="F23">
        <v>6989</v>
      </c>
      <c r="G23" t="s">
        <v>63</v>
      </c>
      <c r="H23" t="s">
        <v>18</v>
      </c>
      <c r="I23" t="s">
        <v>19</v>
      </c>
      <c r="J23" t="s">
        <v>95</v>
      </c>
      <c r="K23" t="s">
        <v>57</v>
      </c>
      <c r="L23" t="s">
        <v>38</v>
      </c>
    </row>
    <row r="24" spans="1:12" x14ac:dyDescent="0.3">
      <c r="A24" t="s">
        <v>134</v>
      </c>
      <c r="B24" t="s">
        <v>135</v>
      </c>
      <c r="C24" t="s">
        <v>136</v>
      </c>
      <c r="D24" t="s">
        <v>137</v>
      </c>
      <c r="E24" t="s">
        <v>78</v>
      </c>
      <c r="F24">
        <v>1840</v>
      </c>
      <c r="G24" t="s">
        <v>35</v>
      </c>
      <c r="H24" t="s">
        <v>85</v>
      </c>
      <c r="I24" t="s">
        <v>19</v>
      </c>
      <c r="J24" t="s">
        <v>20</v>
      </c>
      <c r="K24" t="s">
        <v>57</v>
      </c>
      <c r="L24" t="s">
        <v>38</v>
      </c>
    </row>
    <row r="25" spans="1:12" x14ac:dyDescent="0.3">
      <c r="A25" t="s">
        <v>138</v>
      </c>
      <c r="B25" t="s">
        <v>139</v>
      </c>
      <c r="C25" t="s">
        <v>140</v>
      </c>
      <c r="D25" t="s">
        <v>141</v>
      </c>
      <c r="E25" t="s">
        <v>51</v>
      </c>
      <c r="F25">
        <v>14377</v>
      </c>
      <c r="G25" t="s">
        <v>35</v>
      </c>
      <c r="H25" t="s">
        <v>105</v>
      </c>
      <c r="I25" t="s">
        <v>19</v>
      </c>
      <c r="J25" t="s">
        <v>95</v>
      </c>
      <c r="K25" t="s">
        <v>96</v>
      </c>
      <c r="L25" t="s">
        <v>38</v>
      </c>
    </row>
    <row r="26" spans="1:12" x14ac:dyDescent="0.3">
      <c r="A26" t="s">
        <v>142</v>
      </c>
      <c r="B26" t="s">
        <v>143</v>
      </c>
      <c r="C26" t="s">
        <v>144</v>
      </c>
      <c r="D26" t="s">
        <v>145</v>
      </c>
      <c r="E26" t="s">
        <v>34</v>
      </c>
      <c r="F26">
        <v>7936</v>
      </c>
      <c r="G26" t="s">
        <v>68</v>
      </c>
      <c r="H26" t="s">
        <v>105</v>
      </c>
      <c r="I26" t="s">
        <v>19</v>
      </c>
      <c r="J26" t="s">
        <v>46</v>
      </c>
      <c r="K26" t="s">
        <v>57</v>
      </c>
      <c r="L26" t="s">
        <v>38</v>
      </c>
    </row>
    <row r="27" spans="1:12" x14ac:dyDescent="0.3">
      <c r="A27" t="s">
        <v>146</v>
      </c>
      <c r="B27" t="s">
        <v>147</v>
      </c>
      <c r="C27" t="s">
        <v>148</v>
      </c>
      <c r="D27" t="s">
        <v>149</v>
      </c>
      <c r="E27" t="s">
        <v>62</v>
      </c>
      <c r="F27">
        <v>12896</v>
      </c>
      <c r="G27" t="s">
        <v>44</v>
      </c>
      <c r="H27" t="s">
        <v>85</v>
      </c>
      <c r="I27" t="s">
        <v>19</v>
      </c>
      <c r="J27" t="s">
        <v>46</v>
      </c>
      <c r="K27" t="s">
        <v>29</v>
      </c>
      <c r="L27" t="s">
        <v>38</v>
      </c>
    </row>
    <row r="28" spans="1:12" x14ac:dyDescent="0.3">
      <c r="A28" t="s">
        <v>150</v>
      </c>
      <c r="B28" t="s">
        <v>40</v>
      </c>
      <c r="C28" t="s">
        <v>151</v>
      </c>
      <c r="D28" t="s">
        <v>117</v>
      </c>
      <c r="E28" t="s">
        <v>94</v>
      </c>
      <c r="F28">
        <v>9539</v>
      </c>
      <c r="G28" t="s">
        <v>79</v>
      </c>
      <c r="H28" t="s">
        <v>105</v>
      </c>
      <c r="I28" t="s">
        <v>28</v>
      </c>
      <c r="J28" t="s">
        <v>46</v>
      </c>
      <c r="K28" t="s">
        <v>21</v>
      </c>
      <c r="L28" t="s">
        <v>38</v>
      </c>
    </row>
    <row r="29" spans="1:12" x14ac:dyDescent="0.3">
      <c r="A29" t="s">
        <v>152</v>
      </c>
      <c r="B29" t="s">
        <v>153</v>
      </c>
      <c r="C29" t="s">
        <v>124</v>
      </c>
      <c r="D29" t="s">
        <v>154</v>
      </c>
      <c r="E29" t="s">
        <v>16</v>
      </c>
      <c r="F29">
        <v>86562</v>
      </c>
      <c r="G29" t="s">
        <v>68</v>
      </c>
      <c r="H29" t="s">
        <v>18</v>
      </c>
      <c r="I29" t="s">
        <v>19</v>
      </c>
      <c r="J29" t="s">
        <v>20</v>
      </c>
      <c r="K29" t="s">
        <v>57</v>
      </c>
      <c r="L29" t="s">
        <v>22</v>
      </c>
    </row>
    <row r="30" spans="1:12" x14ac:dyDescent="0.3">
      <c r="A30" t="s">
        <v>155</v>
      </c>
      <c r="B30" t="s">
        <v>156</v>
      </c>
      <c r="C30" t="s">
        <v>157</v>
      </c>
      <c r="D30" t="s">
        <v>158</v>
      </c>
      <c r="E30" t="s">
        <v>16</v>
      </c>
      <c r="F30">
        <v>9790</v>
      </c>
      <c r="G30" t="s">
        <v>63</v>
      </c>
      <c r="H30" t="s">
        <v>45</v>
      </c>
      <c r="I30" t="s">
        <v>28</v>
      </c>
      <c r="J30" t="s">
        <v>20</v>
      </c>
      <c r="K30" t="s">
        <v>29</v>
      </c>
      <c r="L30" t="s">
        <v>38</v>
      </c>
    </row>
    <row r="31" spans="1:12" x14ac:dyDescent="0.3">
      <c r="A31" t="s">
        <v>159</v>
      </c>
      <c r="B31" t="s">
        <v>160</v>
      </c>
      <c r="C31" t="s">
        <v>161</v>
      </c>
      <c r="D31" t="s">
        <v>162</v>
      </c>
      <c r="E31" t="s">
        <v>94</v>
      </c>
      <c r="F31">
        <v>6534</v>
      </c>
      <c r="G31" t="s">
        <v>68</v>
      </c>
      <c r="H31" t="s">
        <v>85</v>
      </c>
      <c r="I31" t="s">
        <v>28</v>
      </c>
      <c r="J31" t="s">
        <v>95</v>
      </c>
      <c r="K31" t="s">
        <v>69</v>
      </c>
      <c r="L31" t="s">
        <v>38</v>
      </c>
    </row>
    <row r="32" spans="1:12" x14ac:dyDescent="0.3">
      <c r="A32" t="s">
        <v>163</v>
      </c>
      <c r="B32" t="s">
        <v>164</v>
      </c>
      <c r="C32" t="s">
        <v>165</v>
      </c>
      <c r="D32" t="s">
        <v>166</v>
      </c>
      <c r="E32" t="s">
        <v>43</v>
      </c>
      <c r="F32">
        <v>9274</v>
      </c>
      <c r="G32" t="s">
        <v>68</v>
      </c>
      <c r="H32" t="s">
        <v>52</v>
      </c>
      <c r="I32" t="s">
        <v>19</v>
      </c>
      <c r="J32" t="s">
        <v>95</v>
      </c>
      <c r="K32" t="s">
        <v>37</v>
      </c>
      <c r="L32" t="s">
        <v>38</v>
      </c>
    </row>
    <row r="33" spans="1:12" x14ac:dyDescent="0.3">
      <c r="A33" t="s">
        <v>167</v>
      </c>
      <c r="B33" t="s">
        <v>168</v>
      </c>
      <c r="C33" t="s">
        <v>169</v>
      </c>
      <c r="D33" t="s">
        <v>170</v>
      </c>
      <c r="E33" t="s">
        <v>34</v>
      </c>
      <c r="F33">
        <v>2634</v>
      </c>
      <c r="G33" t="s">
        <v>79</v>
      </c>
      <c r="H33" t="s">
        <v>52</v>
      </c>
      <c r="I33" t="s">
        <v>19</v>
      </c>
      <c r="J33" t="s">
        <v>95</v>
      </c>
      <c r="K33" t="s">
        <v>80</v>
      </c>
      <c r="L33" t="s">
        <v>38</v>
      </c>
    </row>
    <row r="34" spans="1:12" x14ac:dyDescent="0.3">
      <c r="A34" t="s">
        <v>171</v>
      </c>
      <c r="B34" t="s">
        <v>172</v>
      </c>
      <c r="C34" t="s">
        <v>173</v>
      </c>
      <c r="D34" t="s">
        <v>174</v>
      </c>
      <c r="E34" t="s">
        <v>62</v>
      </c>
      <c r="F34">
        <v>1747</v>
      </c>
      <c r="G34" t="s">
        <v>44</v>
      </c>
      <c r="H34" t="s">
        <v>18</v>
      </c>
      <c r="I34" t="s">
        <v>19</v>
      </c>
      <c r="J34" t="s">
        <v>20</v>
      </c>
      <c r="K34" t="s">
        <v>37</v>
      </c>
      <c r="L34" t="s">
        <v>38</v>
      </c>
    </row>
    <row r="35" spans="1:12" x14ac:dyDescent="0.3">
      <c r="A35" t="s">
        <v>175</v>
      </c>
      <c r="B35" t="s">
        <v>176</v>
      </c>
      <c r="C35" t="s">
        <v>177</v>
      </c>
      <c r="D35" t="s">
        <v>178</v>
      </c>
      <c r="E35" t="s">
        <v>94</v>
      </c>
      <c r="F35">
        <v>5667</v>
      </c>
      <c r="G35" t="s">
        <v>68</v>
      </c>
      <c r="H35" t="s">
        <v>52</v>
      </c>
      <c r="I35" t="s">
        <v>28</v>
      </c>
      <c r="J35" t="s">
        <v>95</v>
      </c>
      <c r="K35" t="s">
        <v>37</v>
      </c>
      <c r="L35" t="s">
        <v>38</v>
      </c>
    </row>
    <row r="36" spans="1:12" x14ac:dyDescent="0.3">
      <c r="A36" t="s">
        <v>179</v>
      </c>
      <c r="B36" t="s">
        <v>180</v>
      </c>
      <c r="C36" t="s">
        <v>181</v>
      </c>
      <c r="D36" t="s">
        <v>182</v>
      </c>
      <c r="E36" t="s">
        <v>43</v>
      </c>
      <c r="F36">
        <v>13638</v>
      </c>
      <c r="G36" t="s">
        <v>63</v>
      </c>
      <c r="H36" t="s">
        <v>113</v>
      </c>
      <c r="I36" t="s">
        <v>28</v>
      </c>
      <c r="J36" t="s">
        <v>20</v>
      </c>
      <c r="K36" t="s">
        <v>29</v>
      </c>
      <c r="L36" t="s">
        <v>38</v>
      </c>
    </row>
    <row r="37" spans="1:12" x14ac:dyDescent="0.3">
      <c r="A37" t="s">
        <v>183</v>
      </c>
      <c r="B37" t="s">
        <v>184</v>
      </c>
      <c r="C37" t="s">
        <v>185</v>
      </c>
      <c r="D37" t="s">
        <v>166</v>
      </c>
      <c r="E37" t="s">
        <v>43</v>
      </c>
      <c r="F37">
        <v>7057</v>
      </c>
      <c r="G37" t="s">
        <v>44</v>
      </c>
      <c r="H37" t="s">
        <v>113</v>
      </c>
      <c r="I37" t="s">
        <v>19</v>
      </c>
      <c r="J37" t="s">
        <v>20</v>
      </c>
      <c r="K37" t="s">
        <v>69</v>
      </c>
      <c r="L37" t="s">
        <v>38</v>
      </c>
    </row>
    <row r="38" spans="1:12" x14ac:dyDescent="0.3">
      <c r="A38" t="s">
        <v>186</v>
      </c>
      <c r="B38" t="s">
        <v>187</v>
      </c>
      <c r="C38" t="s">
        <v>188</v>
      </c>
      <c r="D38" t="s">
        <v>121</v>
      </c>
      <c r="E38" t="s">
        <v>43</v>
      </c>
      <c r="F38">
        <v>7091</v>
      </c>
      <c r="G38" t="s">
        <v>63</v>
      </c>
      <c r="H38" t="s">
        <v>105</v>
      </c>
      <c r="I38" t="s">
        <v>28</v>
      </c>
      <c r="J38" t="s">
        <v>46</v>
      </c>
      <c r="K38" t="s">
        <v>29</v>
      </c>
      <c r="L38" t="s">
        <v>38</v>
      </c>
    </row>
    <row r="39" spans="1:12" x14ac:dyDescent="0.3">
      <c r="A39" t="s">
        <v>189</v>
      </c>
      <c r="B39" t="s">
        <v>190</v>
      </c>
      <c r="C39" t="s">
        <v>191</v>
      </c>
      <c r="D39" t="s">
        <v>192</v>
      </c>
      <c r="E39" t="s">
        <v>16</v>
      </c>
      <c r="F39">
        <v>5844</v>
      </c>
      <c r="G39" t="s">
        <v>35</v>
      </c>
      <c r="H39" t="s">
        <v>27</v>
      </c>
      <c r="I39" t="s">
        <v>19</v>
      </c>
      <c r="J39" t="s">
        <v>95</v>
      </c>
      <c r="K39" t="s">
        <v>69</v>
      </c>
      <c r="L39" t="s">
        <v>38</v>
      </c>
    </row>
    <row r="40" spans="1:12" x14ac:dyDescent="0.3">
      <c r="A40" t="s">
        <v>193</v>
      </c>
      <c r="B40" t="s">
        <v>194</v>
      </c>
      <c r="C40" t="s">
        <v>195</v>
      </c>
      <c r="D40" t="s">
        <v>196</v>
      </c>
      <c r="E40" t="s">
        <v>16</v>
      </c>
      <c r="F40">
        <v>63540</v>
      </c>
      <c r="G40" t="s">
        <v>68</v>
      </c>
      <c r="H40" t="s">
        <v>113</v>
      </c>
      <c r="I40" t="s">
        <v>19</v>
      </c>
      <c r="J40" t="s">
        <v>20</v>
      </c>
      <c r="K40" t="s">
        <v>57</v>
      </c>
      <c r="L40" t="s">
        <v>22</v>
      </c>
    </row>
    <row r="41" spans="1:12" x14ac:dyDescent="0.3">
      <c r="A41" t="s">
        <v>197</v>
      </c>
      <c r="B41" t="s">
        <v>198</v>
      </c>
      <c r="C41" t="s">
        <v>199</v>
      </c>
      <c r="D41" t="s">
        <v>200</v>
      </c>
      <c r="E41" t="s">
        <v>62</v>
      </c>
      <c r="F41">
        <v>13428</v>
      </c>
      <c r="G41" t="s">
        <v>63</v>
      </c>
      <c r="H41" t="s">
        <v>27</v>
      </c>
      <c r="I41" t="s">
        <v>19</v>
      </c>
      <c r="J41" t="s">
        <v>46</v>
      </c>
      <c r="K41" t="s">
        <v>96</v>
      </c>
      <c r="L41" t="s">
        <v>38</v>
      </c>
    </row>
    <row r="42" spans="1:12" x14ac:dyDescent="0.3">
      <c r="A42" t="s">
        <v>201</v>
      </c>
      <c r="B42" t="s">
        <v>202</v>
      </c>
      <c r="C42" t="s">
        <v>203</v>
      </c>
      <c r="D42" t="s">
        <v>204</v>
      </c>
      <c r="E42" t="s">
        <v>34</v>
      </c>
      <c r="F42">
        <v>4614</v>
      </c>
      <c r="G42" t="s">
        <v>68</v>
      </c>
      <c r="H42" t="s">
        <v>36</v>
      </c>
      <c r="I42" t="s">
        <v>28</v>
      </c>
      <c r="J42" t="s">
        <v>46</v>
      </c>
      <c r="K42" t="s">
        <v>96</v>
      </c>
      <c r="L42" t="s">
        <v>38</v>
      </c>
    </row>
    <row r="43" spans="1:12" x14ac:dyDescent="0.3">
      <c r="A43" t="s">
        <v>205</v>
      </c>
      <c r="B43" t="s">
        <v>206</v>
      </c>
      <c r="C43" t="s">
        <v>207</v>
      </c>
      <c r="D43" t="s">
        <v>112</v>
      </c>
      <c r="E43" t="s">
        <v>43</v>
      </c>
      <c r="F43">
        <v>4399</v>
      </c>
      <c r="G43" t="s">
        <v>79</v>
      </c>
      <c r="H43" t="s">
        <v>45</v>
      </c>
      <c r="I43" t="s">
        <v>28</v>
      </c>
      <c r="J43" t="s">
        <v>95</v>
      </c>
      <c r="K43" t="s">
        <v>57</v>
      </c>
      <c r="L43" t="s">
        <v>38</v>
      </c>
    </row>
    <row r="44" spans="1:12" x14ac:dyDescent="0.3">
      <c r="A44" t="s">
        <v>208</v>
      </c>
      <c r="B44" t="s">
        <v>209</v>
      </c>
      <c r="C44" t="s">
        <v>210</v>
      </c>
      <c r="D44" t="s">
        <v>211</v>
      </c>
      <c r="E44" t="s">
        <v>16</v>
      </c>
      <c r="F44">
        <v>44914</v>
      </c>
      <c r="G44" t="s">
        <v>79</v>
      </c>
      <c r="H44" t="s">
        <v>36</v>
      </c>
      <c r="I44" t="s">
        <v>19</v>
      </c>
      <c r="J44" t="s">
        <v>20</v>
      </c>
      <c r="K44" t="s">
        <v>21</v>
      </c>
      <c r="L44" t="s">
        <v>22</v>
      </c>
    </row>
    <row r="45" spans="1:12" x14ac:dyDescent="0.3">
      <c r="A45" t="s">
        <v>212</v>
      </c>
      <c r="B45" t="s">
        <v>213</v>
      </c>
      <c r="C45" t="s">
        <v>214</v>
      </c>
      <c r="D45" t="s">
        <v>215</v>
      </c>
      <c r="E45" t="s">
        <v>62</v>
      </c>
      <c r="F45">
        <v>12206</v>
      </c>
      <c r="G45" t="s">
        <v>68</v>
      </c>
      <c r="H45" t="s">
        <v>45</v>
      </c>
      <c r="I45" t="s">
        <v>28</v>
      </c>
      <c r="J45" t="s">
        <v>46</v>
      </c>
      <c r="K45" t="s">
        <v>80</v>
      </c>
      <c r="L45" t="s">
        <v>38</v>
      </c>
    </row>
    <row r="46" spans="1:12" x14ac:dyDescent="0.3">
      <c r="A46" t="s">
        <v>216</v>
      </c>
      <c r="B46" t="s">
        <v>172</v>
      </c>
      <c r="C46" t="s">
        <v>217</v>
      </c>
      <c r="D46" t="s">
        <v>218</v>
      </c>
      <c r="E46" t="s">
        <v>62</v>
      </c>
      <c r="F46">
        <v>10976</v>
      </c>
      <c r="G46" t="s">
        <v>17</v>
      </c>
      <c r="H46" t="s">
        <v>52</v>
      </c>
      <c r="I46" t="s">
        <v>19</v>
      </c>
      <c r="J46" t="s">
        <v>46</v>
      </c>
      <c r="K46" t="s">
        <v>29</v>
      </c>
      <c r="L46" t="s">
        <v>38</v>
      </c>
    </row>
    <row r="47" spans="1:12" x14ac:dyDescent="0.3">
      <c r="A47" t="s">
        <v>219</v>
      </c>
      <c r="B47" t="s">
        <v>220</v>
      </c>
      <c r="C47" t="s">
        <v>221</v>
      </c>
      <c r="D47" t="s">
        <v>222</v>
      </c>
      <c r="E47" t="s">
        <v>16</v>
      </c>
      <c r="F47">
        <v>11147</v>
      </c>
      <c r="G47" t="s">
        <v>44</v>
      </c>
      <c r="H47" t="s">
        <v>36</v>
      </c>
      <c r="I47" t="s">
        <v>19</v>
      </c>
      <c r="J47" t="s">
        <v>95</v>
      </c>
      <c r="K47" t="s">
        <v>37</v>
      </c>
      <c r="L47" t="s">
        <v>38</v>
      </c>
    </row>
    <row r="48" spans="1:12" x14ac:dyDescent="0.3">
      <c r="A48" t="s">
        <v>223</v>
      </c>
      <c r="B48" t="s">
        <v>224</v>
      </c>
      <c r="C48" t="s">
        <v>225</v>
      </c>
      <c r="D48" t="s">
        <v>170</v>
      </c>
      <c r="E48" t="s">
        <v>51</v>
      </c>
      <c r="F48">
        <v>9552</v>
      </c>
      <c r="G48" t="s">
        <v>63</v>
      </c>
      <c r="H48" t="s">
        <v>27</v>
      </c>
      <c r="I48" t="s">
        <v>28</v>
      </c>
      <c r="J48" t="s">
        <v>46</v>
      </c>
      <c r="K48" t="s">
        <v>69</v>
      </c>
      <c r="L48" t="s">
        <v>38</v>
      </c>
    </row>
    <row r="49" spans="1:12" x14ac:dyDescent="0.3">
      <c r="A49" t="s">
        <v>226</v>
      </c>
      <c r="B49" t="s">
        <v>65</v>
      </c>
      <c r="C49" t="s">
        <v>227</v>
      </c>
      <c r="D49" t="s">
        <v>228</v>
      </c>
      <c r="E49" t="s">
        <v>94</v>
      </c>
      <c r="F49">
        <v>4699</v>
      </c>
      <c r="G49" t="s">
        <v>35</v>
      </c>
      <c r="H49" t="s">
        <v>45</v>
      </c>
      <c r="I49" t="s">
        <v>19</v>
      </c>
      <c r="J49" t="s">
        <v>95</v>
      </c>
      <c r="K49" t="s">
        <v>69</v>
      </c>
      <c r="L49" t="s">
        <v>38</v>
      </c>
    </row>
    <row r="50" spans="1:12" x14ac:dyDescent="0.3">
      <c r="A50" t="s">
        <v>229</v>
      </c>
      <c r="B50" t="s">
        <v>230</v>
      </c>
      <c r="C50" t="s">
        <v>231</v>
      </c>
      <c r="D50" t="s">
        <v>232</v>
      </c>
      <c r="E50" t="s">
        <v>78</v>
      </c>
      <c r="F50">
        <v>13264</v>
      </c>
      <c r="G50" t="s">
        <v>68</v>
      </c>
      <c r="H50" t="s">
        <v>27</v>
      </c>
      <c r="I50" t="s">
        <v>28</v>
      </c>
      <c r="J50" t="s">
        <v>20</v>
      </c>
      <c r="K50" t="s">
        <v>21</v>
      </c>
      <c r="L50" t="s">
        <v>38</v>
      </c>
    </row>
    <row r="51" spans="1:12" x14ac:dyDescent="0.3">
      <c r="A51" t="s">
        <v>233</v>
      </c>
      <c r="B51" t="s">
        <v>59</v>
      </c>
      <c r="C51" t="s">
        <v>234</v>
      </c>
      <c r="D51" t="s">
        <v>235</v>
      </c>
      <c r="E51" t="s">
        <v>94</v>
      </c>
      <c r="F51">
        <v>10368</v>
      </c>
      <c r="G51" t="s">
        <v>35</v>
      </c>
      <c r="H51" t="s">
        <v>85</v>
      </c>
      <c r="I51" t="s">
        <v>28</v>
      </c>
      <c r="J51" t="s">
        <v>95</v>
      </c>
      <c r="K51" t="s">
        <v>29</v>
      </c>
      <c r="L51" t="s">
        <v>38</v>
      </c>
    </row>
    <row r="52" spans="1:12" x14ac:dyDescent="0.3">
      <c r="A52" t="s">
        <v>236</v>
      </c>
      <c r="B52" t="s">
        <v>237</v>
      </c>
      <c r="C52" t="s">
        <v>238</v>
      </c>
      <c r="D52" t="s">
        <v>215</v>
      </c>
      <c r="E52" t="s">
        <v>34</v>
      </c>
      <c r="F52">
        <v>14675</v>
      </c>
      <c r="G52" t="s">
        <v>79</v>
      </c>
      <c r="H52" t="s">
        <v>113</v>
      </c>
      <c r="I52" t="s">
        <v>28</v>
      </c>
      <c r="J52" t="s">
        <v>46</v>
      </c>
      <c r="K52" t="s">
        <v>96</v>
      </c>
      <c r="L52" t="s">
        <v>38</v>
      </c>
    </row>
    <row r="53" spans="1:12" x14ac:dyDescent="0.3">
      <c r="A53" t="s">
        <v>239</v>
      </c>
      <c r="B53" t="s">
        <v>190</v>
      </c>
      <c r="C53" t="s">
        <v>240</v>
      </c>
      <c r="D53" t="s">
        <v>241</v>
      </c>
      <c r="E53" t="s">
        <v>78</v>
      </c>
      <c r="F53">
        <v>2038</v>
      </c>
      <c r="G53" t="s">
        <v>63</v>
      </c>
      <c r="H53" t="s">
        <v>45</v>
      </c>
      <c r="I53" t="s">
        <v>28</v>
      </c>
      <c r="J53" t="s">
        <v>46</v>
      </c>
      <c r="K53" t="s">
        <v>21</v>
      </c>
      <c r="L53" t="s">
        <v>38</v>
      </c>
    </row>
    <row r="54" spans="1:12" x14ac:dyDescent="0.3">
      <c r="A54" t="s">
        <v>242</v>
      </c>
      <c r="B54" t="s">
        <v>102</v>
      </c>
      <c r="C54" t="s">
        <v>243</v>
      </c>
      <c r="D54" t="s">
        <v>93</v>
      </c>
      <c r="E54" t="s">
        <v>78</v>
      </c>
      <c r="F54">
        <v>14907</v>
      </c>
      <c r="G54" t="s">
        <v>35</v>
      </c>
      <c r="H54" t="s">
        <v>85</v>
      </c>
      <c r="I54" t="s">
        <v>28</v>
      </c>
      <c r="J54" t="s">
        <v>95</v>
      </c>
      <c r="K54" t="s">
        <v>37</v>
      </c>
      <c r="L54" t="s">
        <v>38</v>
      </c>
    </row>
    <row r="55" spans="1:12" x14ac:dyDescent="0.3">
      <c r="A55" t="s">
        <v>244</v>
      </c>
      <c r="B55" t="s">
        <v>13</v>
      </c>
      <c r="C55" t="s">
        <v>245</v>
      </c>
      <c r="D55" t="s">
        <v>246</v>
      </c>
      <c r="E55" t="s">
        <v>51</v>
      </c>
      <c r="F55">
        <v>12791</v>
      </c>
      <c r="G55" t="s">
        <v>63</v>
      </c>
      <c r="H55" t="s">
        <v>52</v>
      </c>
      <c r="I55" t="s">
        <v>28</v>
      </c>
      <c r="J55" t="s">
        <v>95</v>
      </c>
      <c r="K55" t="s">
        <v>96</v>
      </c>
      <c r="L55" t="s">
        <v>38</v>
      </c>
    </row>
    <row r="56" spans="1:12" x14ac:dyDescent="0.3">
      <c r="A56" t="s">
        <v>247</v>
      </c>
      <c r="B56" t="s">
        <v>248</v>
      </c>
      <c r="C56" t="s">
        <v>249</v>
      </c>
      <c r="D56" t="s">
        <v>250</v>
      </c>
      <c r="E56" t="s">
        <v>16</v>
      </c>
      <c r="F56">
        <v>5552</v>
      </c>
      <c r="G56" t="s">
        <v>63</v>
      </c>
      <c r="H56" t="s">
        <v>113</v>
      </c>
      <c r="I56" t="s">
        <v>19</v>
      </c>
      <c r="J56" t="s">
        <v>20</v>
      </c>
      <c r="K56" t="s">
        <v>57</v>
      </c>
      <c r="L56" t="s">
        <v>38</v>
      </c>
    </row>
    <row r="57" spans="1:12" x14ac:dyDescent="0.3">
      <c r="A57" t="s">
        <v>251</v>
      </c>
      <c r="B57" t="s">
        <v>252</v>
      </c>
      <c r="C57" t="s">
        <v>253</v>
      </c>
      <c r="D57" t="s">
        <v>254</v>
      </c>
      <c r="E57" t="s">
        <v>51</v>
      </c>
      <c r="F57">
        <v>1102</v>
      </c>
      <c r="G57" t="s">
        <v>35</v>
      </c>
      <c r="H57" t="s">
        <v>85</v>
      </c>
      <c r="I57" t="s">
        <v>28</v>
      </c>
      <c r="J57" t="s">
        <v>46</v>
      </c>
      <c r="K57" t="s">
        <v>96</v>
      </c>
      <c r="L57" t="s">
        <v>38</v>
      </c>
    </row>
    <row r="58" spans="1:12" x14ac:dyDescent="0.3">
      <c r="A58" t="s">
        <v>255</v>
      </c>
      <c r="B58" t="s">
        <v>256</v>
      </c>
      <c r="C58" t="s">
        <v>257</v>
      </c>
      <c r="D58" t="s">
        <v>258</v>
      </c>
      <c r="E58" t="s">
        <v>34</v>
      </c>
      <c r="F58">
        <v>12662</v>
      </c>
      <c r="G58" t="s">
        <v>44</v>
      </c>
      <c r="H58" t="s">
        <v>85</v>
      </c>
      <c r="I58" t="s">
        <v>19</v>
      </c>
      <c r="J58" t="s">
        <v>95</v>
      </c>
      <c r="K58" t="s">
        <v>37</v>
      </c>
      <c r="L58" t="s">
        <v>38</v>
      </c>
    </row>
    <row r="59" spans="1:12" x14ac:dyDescent="0.3">
      <c r="A59" t="s">
        <v>259</v>
      </c>
      <c r="B59" t="s">
        <v>147</v>
      </c>
      <c r="C59" t="s">
        <v>260</v>
      </c>
      <c r="D59" t="s">
        <v>261</v>
      </c>
      <c r="E59" t="s">
        <v>16</v>
      </c>
      <c r="F59">
        <v>13742</v>
      </c>
      <c r="G59" t="s">
        <v>44</v>
      </c>
      <c r="H59" t="s">
        <v>27</v>
      </c>
      <c r="I59" t="s">
        <v>28</v>
      </c>
      <c r="J59" t="s">
        <v>95</v>
      </c>
      <c r="K59" t="s">
        <v>29</v>
      </c>
      <c r="L59" t="s">
        <v>38</v>
      </c>
    </row>
    <row r="60" spans="1:12" x14ac:dyDescent="0.3">
      <c r="A60" t="s">
        <v>262</v>
      </c>
      <c r="B60" t="s">
        <v>98</v>
      </c>
      <c r="C60" t="s">
        <v>263</v>
      </c>
      <c r="D60" t="s">
        <v>264</v>
      </c>
      <c r="E60" t="s">
        <v>94</v>
      </c>
      <c r="F60">
        <v>6421</v>
      </c>
      <c r="G60" t="s">
        <v>17</v>
      </c>
      <c r="H60" t="s">
        <v>36</v>
      </c>
      <c r="I60" t="s">
        <v>19</v>
      </c>
      <c r="J60" t="s">
        <v>95</v>
      </c>
      <c r="K60" t="s">
        <v>69</v>
      </c>
      <c r="L60" t="s">
        <v>38</v>
      </c>
    </row>
    <row r="61" spans="1:12" x14ac:dyDescent="0.3">
      <c r="A61" t="s">
        <v>265</v>
      </c>
      <c r="B61" t="s">
        <v>266</v>
      </c>
      <c r="C61" t="s">
        <v>267</v>
      </c>
      <c r="D61" t="s">
        <v>268</v>
      </c>
      <c r="E61" t="s">
        <v>51</v>
      </c>
      <c r="F61">
        <v>8801</v>
      </c>
      <c r="G61" t="s">
        <v>17</v>
      </c>
      <c r="H61" t="s">
        <v>105</v>
      </c>
      <c r="I61" t="s">
        <v>19</v>
      </c>
      <c r="J61" t="s">
        <v>95</v>
      </c>
      <c r="K61" t="s">
        <v>80</v>
      </c>
      <c r="L61" t="s">
        <v>38</v>
      </c>
    </row>
    <row r="62" spans="1:12" x14ac:dyDescent="0.3">
      <c r="A62" t="s">
        <v>269</v>
      </c>
      <c r="B62" t="s">
        <v>270</v>
      </c>
      <c r="C62" t="s">
        <v>271</v>
      </c>
      <c r="D62" t="s">
        <v>272</v>
      </c>
      <c r="E62" t="s">
        <v>62</v>
      </c>
      <c r="F62">
        <v>3027</v>
      </c>
      <c r="G62" t="s">
        <v>44</v>
      </c>
      <c r="H62" t="s">
        <v>27</v>
      </c>
      <c r="I62" t="s">
        <v>28</v>
      </c>
      <c r="J62" t="s">
        <v>46</v>
      </c>
      <c r="K62" t="s">
        <v>37</v>
      </c>
      <c r="L62" t="s">
        <v>38</v>
      </c>
    </row>
    <row r="63" spans="1:12" x14ac:dyDescent="0.3">
      <c r="A63" t="s">
        <v>273</v>
      </c>
      <c r="B63" t="s">
        <v>274</v>
      </c>
      <c r="C63" t="s">
        <v>275</v>
      </c>
      <c r="D63" t="s">
        <v>276</v>
      </c>
      <c r="E63" t="s">
        <v>62</v>
      </c>
      <c r="F63">
        <v>13680</v>
      </c>
      <c r="G63" t="s">
        <v>35</v>
      </c>
      <c r="H63" t="s">
        <v>105</v>
      </c>
      <c r="I63" t="s">
        <v>19</v>
      </c>
      <c r="J63" t="s">
        <v>20</v>
      </c>
      <c r="K63" t="s">
        <v>37</v>
      </c>
      <c r="L63" t="s">
        <v>38</v>
      </c>
    </row>
    <row r="64" spans="1:12" x14ac:dyDescent="0.3">
      <c r="A64" t="s">
        <v>277</v>
      </c>
      <c r="B64" t="s">
        <v>278</v>
      </c>
      <c r="C64" t="s">
        <v>279</v>
      </c>
      <c r="D64" t="s">
        <v>280</v>
      </c>
      <c r="E64" t="s">
        <v>16</v>
      </c>
      <c r="F64">
        <v>25276</v>
      </c>
      <c r="G64" t="s">
        <v>35</v>
      </c>
      <c r="H64" t="s">
        <v>105</v>
      </c>
      <c r="I64" t="s">
        <v>19</v>
      </c>
      <c r="J64" t="s">
        <v>20</v>
      </c>
      <c r="K64" t="s">
        <v>29</v>
      </c>
      <c r="L64" t="s">
        <v>22</v>
      </c>
    </row>
    <row r="65" spans="1:12" x14ac:dyDescent="0.3">
      <c r="A65" t="s">
        <v>281</v>
      </c>
      <c r="B65" t="s">
        <v>282</v>
      </c>
      <c r="C65" t="s">
        <v>283</v>
      </c>
      <c r="D65" t="s">
        <v>284</v>
      </c>
      <c r="E65" t="s">
        <v>51</v>
      </c>
      <c r="F65">
        <v>9290</v>
      </c>
      <c r="G65" t="s">
        <v>79</v>
      </c>
      <c r="H65" t="s">
        <v>45</v>
      </c>
      <c r="I65" t="s">
        <v>19</v>
      </c>
      <c r="J65" t="s">
        <v>95</v>
      </c>
      <c r="K65" t="s">
        <v>21</v>
      </c>
      <c r="L65" t="s">
        <v>38</v>
      </c>
    </row>
    <row r="66" spans="1:12" x14ac:dyDescent="0.3">
      <c r="A66" t="s">
        <v>285</v>
      </c>
      <c r="B66" t="s">
        <v>286</v>
      </c>
      <c r="C66" t="s">
        <v>287</v>
      </c>
      <c r="D66" t="s">
        <v>288</v>
      </c>
      <c r="E66" t="s">
        <v>43</v>
      </c>
      <c r="F66">
        <v>2733</v>
      </c>
      <c r="G66" t="s">
        <v>63</v>
      </c>
      <c r="H66" t="s">
        <v>52</v>
      </c>
      <c r="I66" t="s">
        <v>28</v>
      </c>
      <c r="J66" t="s">
        <v>95</v>
      </c>
      <c r="K66" t="s">
        <v>57</v>
      </c>
      <c r="L66" t="s">
        <v>38</v>
      </c>
    </row>
    <row r="67" spans="1:12" x14ac:dyDescent="0.3">
      <c r="A67" t="s">
        <v>289</v>
      </c>
      <c r="B67" t="s">
        <v>290</v>
      </c>
      <c r="C67" t="s">
        <v>291</v>
      </c>
      <c r="D67" t="s">
        <v>292</v>
      </c>
      <c r="E67" t="s">
        <v>16</v>
      </c>
      <c r="F67">
        <v>51830</v>
      </c>
      <c r="G67" t="s">
        <v>79</v>
      </c>
      <c r="H67" t="s">
        <v>18</v>
      </c>
      <c r="I67" t="s">
        <v>19</v>
      </c>
      <c r="J67" t="s">
        <v>46</v>
      </c>
      <c r="K67" t="s">
        <v>37</v>
      </c>
      <c r="L67" t="s">
        <v>22</v>
      </c>
    </row>
    <row r="68" spans="1:12" x14ac:dyDescent="0.3">
      <c r="A68" t="s">
        <v>293</v>
      </c>
      <c r="B68" t="s">
        <v>82</v>
      </c>
      <c r="C68" t="s">
        <v>294</v>
      </c>
      <c r="D68" t="s">
        <v>73</v>
      </c>
      <c r="E68" t="s">
        <v>94</v>
      </c>
      <c r="F68">
        <v>1179</v>
      </c>
      <c r="G68" t="s">
        <v>17</v>
      </c>
      <c r="H68" t="s">
        <v>36</v>
      </c>
      <c r="I68" t="s">
        <v>28</v>
      </c>
      <c r="J68" t="s">
        <v>46</v>
      </c>
      <c r="K68" t="s">
        <v>96</v>
      </c>
      <c r="L68" t="s">
        <v>38</v>
      </c>
    </row>
    <row r="69" spans="1:12" x14ac:dyDescent="0.3">
      <c r="A69" t="s">
        <v>295</v>
      </c>
      <c r="B69" t="s">
        <v>296</v>
      </c>
      <c r="C69" t="s">
        <v>297</v>
      </c>
      <c r="D69" t="s">
        <v>298</v>
      </c>
      <c r="E69" t="s">
        <v>94</v>
      </c>
      <c r="F69">
        <v>13627</v>
      </c>
      <c r="G69" t="s">
        <v>79</v>
      </c>
      <c r="H69" t="s">
        <v>113</v>
      </c>
      <c r="I69" t="s">
        <v>28</v>
      </c>
      <c r="J69" t="s">
        <v>20</v>
      </c>
      <c r="K69" t="s">
        <v>21</v>
      </c>
      <c r="L69" t="s">
        <v>38</v>
      </c>
    </row>
    <row r="70" spans="1:12" x14ac:dyDescent="0.3">
      <c r="A70" t="s">
        <v>299</v>
      </c>
      <c r="B70" t="s">
        <v>300</v>
      </c>
      <c r="C70" t="s">
        <v>301</v>
      </c>
      <c r="D70" t="s">
        <v>154</v>
      </c>
      <c r="E70" t="s">
        <v>62</v>
      </c>
      <c r="F70">
        <v>13578</v>
      </c>
      <c r="G70" t="s">
        <v>35</v>
      </c>
      <c r="H70" t="s">
        <v>18</v>
      </c>
      <c r="I70" t="s">
        <v>28</v>
      </c>
      <c r="J70" t="s">
        <v>20</v>
      </c>
      <c r="K70" t="s">
        <v>57</v>
      </c>
      <c r="L70" t="s">
        <v>38</v>
      </c>
    </row>
    <row r="71" spans="1:12" x14ac:dyDescent="0.3">
      <c r="A71" t="s">
        <v>302</v>
      </c>
      <c r="B71" t="s">
        <v>303</v>
      </c>
      <c r="C71" t="s">
        <v>304</v>
      </c>
      <c r="D71" t="s">
        <v>162</v>
      </c>
      <c r="E71" t="s">
        <v>62</v>
      </c>
      <c r="F71">
        <v>10997</v>
      </c>
      <c r="G71" t="s">
        <v>35</v>
      </c>
      <c r="H71" t="s">
        <v>45</v>
      </c>
      <c r="I71" t="s">
        <v>19</v>
      </c>
      <c r="J71" t="s">
        <v>20</v>
      </c>
      <c r="K71" t="s">
        <v>57</v>
      </c>
      <c r="L71" t="s">
        <v>38</v>
      </c>
    </row>
    <row r="72" spans="1:12" x14ac:dyDescent="0.3">
      <c r="A72" t="s">
        <v>305</v>
      </c>
      <c r="B72" t="s">
        <v>306</v>
      </c>
      <c r="C72" t="s">
        <v>307</v>
      </c>
      <c r="D72" t="s">
        <v>93</v>
      </c>
      <c r="E72" t="s">
        <v>16</v>
      </c>
      <c r="F72">
        <v>5626</v>
      </c>
      <c r="G72" t="s">
        <v>35</v>
      </c>
      <c r="H72" t="s">
        <v>52</v>
      </c>
      <c r="I72" t="s">
        <v>19</v>
      </c>
      <c r="J72" t="s">
        <v>95</v>
      </c>
      <c r="K72" t="s">
        <v>21</v>
      </c>
      <c r="L72" t="s">
        <v>38</v>
      </c>
    </row>
    <row r="73" spans="1:12" x14ac:dyDescent="0.3">
      <c r="A73" t="s">
        <v>308</v>
      </c>
      <c r="B73" t="s">
        <v>309</v>
      </c>
      <c r="C73" t="s">
        <v>310</v>
      </c>
      <c r="D73" t="s">
        <v>311</v>
      </c>
      <c r="E73" t="s">
        <v>16</v>
      </c>
      <c r="F73">
        <v>6708</v>
      </c>
      <c r="G73" t="s">
        <v>68</v>
      </c>
      <c r="H73" t="s">
        <v>85</v>
      </c>
      <c r="I73" t="s">
        <v>28</v>
      </c>
      <c r="J73" t="s">
        <v>20</v>
      </c>
      <c r="K73" t="s">
        <v>57</v>
      </c>
      <c r="L73" t="s">
        <v>38</v>
      </c>
    </row>
    <row r="74" spans="1:12" x14ac:dyDescent="0.3">
      <c r="A74" t="s">
        <v>312</v>
      </c>
      <c r="B74" t="s">
        <v>180</v>
      </c>
      <c r="C74" t="s">
        <v>313</v>
      </c>
      <c r="D74" t="s">
        <v>314</v>
      </c>
      <c r="E74" t="s">
        <v>62</v>
      </c>
      <c r="F74">
        <v>6675</v>
      </c>
      <c r="G74" t="s">
        <v>79</v>
      </c>
      <c r="H74" t="s">
        <v>45</v>
      </c>
      <c r="I74" t="s">
        <v>28</v>
      </c>
      <c r="J74" t="s">
        <v>95</v>
      </c>
      <c r="K74" t="s">
        <v>21</v>
      </c>
      <c r="L74" t="s">
        <v>38</v>
      </c>
    </row>
    <row r="75" spans="1:12" x14ac:dyDescent="0.3">
      <c r="A75" t="s">
        <v>315</v>
      </c>
      <c r="B75" t="s">
        <v>316</v>
      </c>
      <c r="C75" t="s">
        <v>317</v>
      </c>
      <c r="D75" t="s">
        <v>318</v>
      </c>
      <c r="E75" t="s">
        <v>62</v>
      </c>
      <c r="F75">
        <v>12271</v>
      </c>
      <c r="G75" t="s">
        <v>35</v>
      </c>
      <c r="H75" t="s">
        <v>52</v>
      </c>
      <c r="I75" t="s">
        <v>28</v>
      </c>
      <c r="J75" t="s">
        <v>95</v>
      </c>
      <c r="K75" t="s">
        <v>37</v>
      </c>
      <c r="L75" t="s">
        <v>38</v>
      </c>
    </row>
    <row r="76" spans="1:12" x14ac:dyDescent="0.3">
      <c r="A76" t="s">
        <v>319</v>
      </c>
      <c r="B76" t="s">
        <v>119</v>
      </c>
      <c r="C76" t="s">
        <v>92</v>
      </c>
      <c r="D76" t="s">
        <v>320</v>
      </c>
      <c r="E76" t="s">
        <v>94</v>
      </c>
      <c r="F76">
        <v>5219</v>
      </c>
      <c r="G76" t="s">
        <v>63</v>
      </c>
      <c r="H76" t="s">
        <v>113</v>
      </c>
      <c r="I76" t="s">
        <v>19</v>
      </c>
      <c r="J76" t="s">
        <v>95</v>
      </c>
      <c r="K76" t="s">
        <v>29</v>
      </c>
      <c r="L76" t="s">
        <v>38</v>
      </c>
    </row>
    <row r="77" spans="1:12" x14ac:dyDescent="0.3">
      <c r="A77" t="s">
        <v>321</v>
      </c>
      <c r="B77" t="s">
        <v>300</v>
      </c>
      <c r="C77" t="s">
        <v>322</v>
      </c>
      <c r="D77" t="s">
        <v>323</v>
      </c>
      <c r="E77" t="s">
        <v>16</v>
      </c>
      <c r="F77">
        <v>9709</v>
      </c>
      <c r="G77" t="s">
        <v>44</v>
      </c>
      <c r="H77" t="s">
        <v>27</v>
      </c>
      <c r="I77" t="s">
        <v>28</v>
      </c>
      <c r="J77" t="s">
        <v>46</v>
      </c>
      <c r="K77" t="s">
        <v>29</v>
      </c>
      <c r="L77" t="s">
        <v>38</v>
      </c>
    </row>
    <row r="78" spans="1:12" x14ac:dyDescent="0.3">
      <c r="A78" t="s">
        <v>324</v>
      </c>
      <c r="B78" t="s">
        <v>325</v>
      </c>
      <c r="C78" t="s">
        <v>326</v>
      </c>
      <c r="D78" t="s">
        <v>327</v>
      </c>
      <c r="E78" t="s">
        <v>62</v>
      </c>
      <c r="F78">
        <v>11650</v>
      </c>
      <c r="G78" t="s">
        <v>17</v>
      </c>
      <c r="H78" t="s">
        <v>52</v>
      </c>
      <c r="I78" t="s">
        <v>19</v>
      </c>
      <c r="J78" t="s">
        <v>20</v>
      </c>
      <c r="K78" t="s">
        <v>80</v>
      </c>
      <c r="L78" t="s">
        <v>38</v>
      </c>
    </row>
    <row r="79" spans="1:12" x14ac:dyDescent="0.3">
      <c r="A79" t="s">
        <v>328</v>
      </c>
      <c r="B79" t="s">
        <v>329</v>
      </c>
      <c r="C79" t="s">
        <v>330</v>
      </c>
      <c r="D79" t="s">
        <v>331</v>
      </c>
      <c r="E79" t="s">
        <v>51</v>
      </c>
      <c r="F79">
        <v>9455</v>
      </c>
      <c r="G79" t="s">
        <v>44</v>
      </c>
      <c r="H79" t="s">
        <v>45</v>
      </c>
      <c r="I79" t="s">
        <v>19</v>
      </c>
      <c r="J79" t="s">
        <v>46</v>
      </c>
      <c r="K79" t="s">
        <v>96</v>
      </c>
      <c r="L79" t="s">
        <v>38</v>
      </c>
    </row>
    <row r="80" spans="1:12" x14ac:dyDescent="0.3">
      <c r="A80" t="s">
        <v>332</v>
      </c>
      <c r="B80" t="s">
        <v>333</v>
      </c>
      <c r="C80" t="s">
        <v>334</v>
      </c>
      <c r="D80" t="s">
        <v>335</v>
      </c>
      <c r="E80" t="s">
        <v>16</v>
      </c>
      <c r="F80">
        <v>28564</v>
      </c>
      <c r="G80" t="s">
        <v>79</v>
      </c>
      <c r="H80" t="s">
        <v>105</v>
      </c>
      <c r="I80" t="s">
        <v>19</v>
      </c>
      <c r="J80" t="s">
        <v>46</v>
      </c>
      <c r="K80" t="s">
        <v>29</v>
      </c>
      <c r="L80" t="s">
        <v>22</v>
      </c>
    </row>
    <row r="81" spans="1:12" x14ac:dyDescent="0.3">
      <c r="A81" t="s">
        <v>336</v>
      </c>
      <c r="B81" t="s">
        <v>337</v>
      </c>
      <c r="C81" t="s">
        <v>338</v>
      </c>
      <c r="D81" t="s">
        <v>339</v>
      </c>
      <c r="E81" t="s">
        <v>16</v>
      </c>
      <c r="F81">
        <v>52530</v>
      </c>
      <c r="G81" t="s">
        <v>17</v>
      </c>
      <c r="H81" t="s">
        <v>27</v>
      </c>
      <c r="I81" t="s">
        <v>28</v>
      </c>
      <c r="J81" t="s">
        <v>46</v>
      </c>
      <c r="K81" t="s">
        <v>57</v>
      </c>
      <c r="L81" t="s">
        <v>22</v>
      </c>
    </row>
    <row r="82" spans="1:12" x14ac:dyDescent="0.3">
      <c r="A82" t="s">
        <v>340</v>
      </c>
      <c r="B82" t="s">
        <v>172</v>
      </c>
      <c r="C82" t="s">
        <v>341</v>
      </c>
      <c r="D82" t="s">
        <v>342</v>
      </c>
      <c r="E82" t="s">
        <v>16</v>
      </c>
      <c r="F82">
        <v>7075</v>
      </c>
      <c r="G82" t="s">
        <v>35</v>
      </c>
      <c r="H82" t="s">
        <v>18</v>
      </c>
      <c r="I82" t="s">
        <v>19</v>
      </c>
      <c r="J82" t="s">
        <v>95</v>
      </c>
      <c r="K82" t="s">
        <v>80</v>
      </c>
      <c r="L82" t="s">
        <v>38</v>
      </c>
    </row>
    <row r="83" spans="1:12" x14ac:dyDescent="0.3">
      <c r="A83" t="s">
        <v>343</v>
      </c>
      <c r="B83" t="s">
        <v>344</v>
      </c>
      <c r="C83" t="s">
        <v>345</v>
      </c>
      <c r="D83" t="s">
        <v>331</v>
      </c>
      <c r="E83" t="s">
        <v>78</v>
      </c>
      <c r="F83">
        <v>2623</v>
      </c>
      <c r="G83" t="s">
        <v>17</v>
      </c>
      <c r="H83" t="s">
        <v>113</v>
      </c>
      <c r="I83" t="s">
        <v>19</v>
      </c>
      <c r="J83" t="s">
        <v>95</v>
      </c>
      <c r="K83" t="s">
        <v>57</v>
      </c>
      <c r="L83" t="s">
        <v>38</v>
      </c>
    </row>
    <row r="84" spans="1:12" x14ac:dyDescent="0.3">
      <c r="A84" t="s">
        <v>346</v>
      </c>
      <c r="B84" t="s">
        <v>347</v>
      </c>
      <c r="C84" t="s">
        <v>348</v>
      </c>
      <c r="D84" t="s">
        <v>33</v>
      </c>
      <c r="E84" t="s">
        <v>78</v>
      </c>
      <c r="F84">
        <v>4821</v>
      </c>
      <c r="G84" t="s">
        <v>63</v>
      </c>
      <c r="H84" t="s">
        <v>52</v>
      </c>
      <c r="I84" t="s">
        <v>28</v>
      </c>
      <c r="J84" t="s">
        <v>46</v>
      </c>
      <c r="K84" t="s">
        <v>96</v>
      </c>
      <c r="L84" t="s">
        <v>38</v>
      </c>
    </row>
    <row r="85" spans="1:12" x14ac:dyDescent="0.3">
      <c r="A85" t="s">
        <v>349</v>
      </c>
      <c r="B85" t="s">
        <v>350</v>
      </c>
      <c r="C85" t="s">
        <v>351</v>
      </c>
      <c r="D85" t="s">
        <v>67</v>
      </c>
      <c r="E85" t="s">
        <v>51</v>
      </c>
      <c r="F85">
        <v>12957</v>
      </c>
      <c r="G85" t="s">
        <v>35</v>
      </c>
      <c r="H85" t="s">
        <v>27</v>
      </c>
      <c r="I85" t="s">
        <v>19</v>
      </c>
      <c r="J85" t="s">
        <v>20</v>
      </c>
      <c r="K85" t="s">
        <v>37</v>
      </c>
      <c r="L85" t="s">
        <v>38</v>
      </c>
    </row>
    <row r="86" spans="1:12" x14ac:dyDescent="0.3">
      <c r="A86" t="s">
        <v>352</v>
      </c>
      <c r="B86" t="s">
        <v>353</v>
      </c>
      <c r="C86" t="s">
        <v>354</v>
      </c>
      <c r="D86" t="s">
        <v>335</v>
      </c>
      <c r="E86" t="s">
        <v>16</v>
      </c>
      <c r="F86">
        <v>60319</v>
      </c>
      <c r="G86" t="s">
        <v>44</v>
      </c>
      <c r="H86" t="s">
        <v>18</v>
      </c>
      <c r="I86" t="s">
        <v>28</v>
      </c>
      <c r="J86" t="s">
        <v>46</v>
      </c>
      <c r="K86" t="s">
        <v>80</v>
      </c>
      <c r="L86" t="s">
        <v>22</v>
      </c>
    </row>
    <row r="87" spans="1:12" x14ac:dyDescent="0.3">
      <c r="A87" t="s">
        <v>355</v>
      </c>
      <c r="B87" t="s">
        <v>356</v>
      </c>
      <c r="C87" t="s">
        <v>357</v>
      </c>
      <c r="D87" t="s">
        <v>358</v>
      </c>
      <c r="E87" t="s">
        <v>16</v>
      </c>
      <c r="F87">
        <v>4510</v>
      </c>
      <c r="G87" t="s">
        <v>63</v>
      </c>
      <c r="H87" t="s">
        <v>18</v>
      </c>
      <c r="I87" t="s">
        <v>19</v>
      </c>
      <c r="J87" t="s">
        <v>46</v>
      </c>
      <c r="K87" t="s">
        <v>57</v>
      </c>
      <c r="L87" t="s">
        <v>38</v>
      </c>
    </row>
    <row r="88" spans="1:12" x14ac:dyDescent="0.3">
      <c r="A88" t="s">
        <v>359</v>
      </c>
      <c r="B88" t="s">
        <v>360</v>
      </c>
      <c r="C88" t="s">
        <v>361</v>
      </c>
      <c r="D88" t="s">
        <v>276</v>
      </c>
      <c r="E88" t="s">
        <v>78</v>
      </c>
      <c r="F88">
        <v>473</v>
      </c>
      <c r="G88" t="s">
        <v>68</v>
      </c>
      <c r="H88" t="s">
        <v>105</v>
      </c>
      <c r="I88" t="s">
        <v>28</v>
      </c>
      <c r="J88" t="s">
        <v>95</v>
      </c>
      <c r="K88" t="s">
        <v>21</v>
      </c>
      <c r="L88" t="s">
        <v>38</v>
      </c>
    </row>
    <row r="89" spans="1:12" x14ac:dyDescent="0.3">
      <c r="A89" t="s">
        <v>362</v>
      </c>
      <c r="B89" t="s">
        <v>363</v>
      </c>
      <c r="C89" t="s">
        <v>364</v>
      </c>
      <c r="D89" t="s">
        <v>276</v>
      </c>
      <c r="E89" t="s">
        <v>62</v>
      </c>
      <c r="F89">
        <v>10724</v>
      </c>
      <c r="G89" t="s">
        <v>17</v>
      </c>
      <c r="H89" t="s">
        <v>36</v>
      </c>
      <c r="I89" t="s">
        <v>28</v>
      </c>
      <c r="J89" t="s">
        <v>20</v>
      </c>
      <c r="K89" t="s">
        <v>96</v>
      </c>
      <c r="L89" t="s">
        <v>38</v>
      </c>
    </row>
    <row r="90" spans="1:12" x14ac:dyDescent="0.3">
      <c r="A90" t="s">
        <v>365</v>
      </c>
      <c r="B90" t="s">
        <v>366</v>
      </c>
      <c r="C90" t="s">
        <v>367</v>
      </c>
      <c r="D90" t="s">
        <v>368</v>
      </c>
      <c r="E90" t="s">
        <v>34</v>
      </c>
      <c r="F90">
        <v>5310</v>
      </c>
      <c r="G90" t="s">
        <v>63</v>
      </c>
      <c r="H90" t="s">
        <v>36</v>
      </c>
      <c r="I90" t="s">
        <v>28</v>
      </c>
      <c r="J90" t="s">
        <v>20</v>
      </c>
      <c r="K90" t="s">
        <v>37</v>
      </c>
      <c r="L90" t="s">
        <v>38</v>
      </c>
    </row>
    <row r="91" spans="1:12" x14ac:dyDescent="0.3">
      <c r="A91" t="s">
        <v>369</v>
      </c>
      <c r="B91" t="s">
        <v>370</v>
      </c>
      <c r="C91" t="s">
        <v>271</v>
      </c>
      <c r="D91" t="s">
        <v>371</v>
      </c>
      <c r="E91" t="s">
        <v>51</v>
      </c>
      <c r="F91">
        <v>9062</v>
      </c>
      <c r="G91" t="s">
        <v>17</v>
      </c>
      <c r="H91" t="s">
        <v>52</v>
      </c>
      <c r="I91" t="s">
        <v>28</v>
      </c>
      <c r="J91" t="s">
        <v>20</v>
      </c>
      <c r="K91" t="s">
        <v>96</v>
      </c>
      <c r="L91" t="s">
        <v>38</v>
      </c>
    </row>
    <row r="92" spans="1:12" x14ac:dyDescent="0.3">
      <c r="A92" t="s">
        <v>372</v>
      </c>
      <c r="B92" t="s">
        <v>373</v>
      </c>
      <c r="C92" t="s">
        <v>374</v>
      </c>
      <c r="D92" t="s">
        <v>375</v>
      </c>
      <c r="E92" t="s">
        <v>51</v>
      </c>
      <c r="F92">
        <v>68</v>
      </c>
      <c r="G92" t="s">
        <v>17</v>
      </c>
      <c r="H92" t="s">
        <v>45</v>
      </c>
      <c r="I92" t="s">
        <v>28</v>
      </c>
      <c r="J92" t="s">
        <v>20</v>
      </c>
      <c r="K92" t="s">
        <v>80</v>
      </c>
      <c r="L92" t="s">
        <v>38</v>
      </c>
    </row>
    <row r="93" spans="1:12" x14ac:dyDescent="0.3">
      <c r="A93" t="s">
        <v>376</v>
      </c>
      <c r="B93" t="s">
        <v>377</v>
      </c>
      <c r="C93" t="s">
        <v>173</v>
      </c>
      <c r="D93" t="s">
        <v>378</v>
      </c>
      <c r="E93" t="s">
        <v>62</v>
      </c>
      <c r="F93">
        <v>9048</v>
      </c>
      <c r="G93" t="s">
        <v>63</v>
      </c>
      <c r="H93" t="s">
        <v>85</v>
      </c>
      <c r="I93" t="s">
        <v>19</v>
      </c>
      <c r="J93" t="s">
        <v>46</v>
      </c>
      <c r="K93" t="s">
        <v>96</v>
      </c>
      <c r="L93" t="s">
        <v>38</v>
      </c>
    </row>
    <row r="94" spans="1:12" x14ac:dyDescent="0.3">
      <c r="A94" t="s">
        <v>379</v>
      </c>
      <c r="B94" t="s">
        <v>380</v>
      </c>
      <c r="C94" t="s">
        <v>381</v>
      </c>
      <c r="D94" t="s">
        <v>382</v>
      </c>
      <c r="E94" t="s">
        <v>62</v>
      </c>
      <c r="F94">
        <v>11679</v>
      </c>
      <c r="G94" t="s">
        <v>68</v>
      </c>
      <c r="H94" t="s">
        <v>36</v>
      </c>
      <c r="I94" t="s">
        <v>19</v>
      </c>
      <c r="J94" t="s">
        <v>95</v>
      </c>
      <c r="K94" t="s">
        <v>29</v>
      </c>
      <c r="L94" t="s">
        <v>38</v>
      </c>
    </row>
    <row r="95" spans="1:12" x14ac:dyDescent="0.3">
      <c r="A95" t="s">
        <v>383</v>
      </c>
      <c r="B95" t="s">
        <v>303</v>
      </c>
      <c r="C95" t="s">
        <v>384</v>
      </c>
      <c r="D95" t="s">
        <v>385</v>
      </c>
      <c r="E95" t="s">
        <v>51</v>
      </c>
      <c r="F95">
        <v>10662</v>
      </c>
      <c r="G95" t="s">
        <v>17</v>
      </c>
      <c r="H95" t="s">
        <v>52</v>
      </c>
      <c r="I95" t="s">
        <v>28</v>
      </c>
      <c r="J95" t="s">
        <v>95</v>
      </c>
      <c r="K95" t="s">
        <v>69</v>
      </c>
      <c r="L95" t="s">
        <v>38</v>
      </c>
    </row>
    <row r="96" spans="1:12" x14ac:dyDescent="0.3">
      <c r="A96" t="s">
        <v>386</v>
      </c>
      <c r="B96" t="s">
        <v>198</v>
      </c>
      <c r="C96" t="s">
        <v>387</v>
      </c>
      <c r="D96" t="s">
        <v>56</v>
      </c>
      <c r="E96" t="s">
        <v>51</v>
      </c>
      <c r="F96">
        <v>9081</v>
      </c>
      <c r="G96" t="s">
        <v>17</v>
      </c>
      <c r="H96" t="s">
        <v>113</v>
      </c>
      <c r="I96" t="s">
        <v>19</v>
      </c>
      <c r="J96" t="s">
        <v>20</v>
      </c>
      <c r="K96" t="s">
        <v>37</v>
      </c>
      <c r="L96" t="s">
        <v>38</v>
      </c>
    </row>
    <row r="97" spans="1:12" x14ac:dyDescent="0.3">
      <c r="A97" t="s">
        <v>388</v>
      </c>
      <c r="B97" t="s">
        <v>389</v>
      </c>
      <c r="C97" t="s">
        <v>390</v>
      </c>
      <c r="D97" t="s">
        <v>391</v>
      </c>
      <c r="E97" t="s">
        <v>34</v>
      </c>
      <c r="F97">
        <v>8368</v>
      </c>
      <c r="G97" t="s">
        <v>35</v>
      </c>
      <c r="H97" t="s">
        <v>52</v>
      </c>
      <c r="I97" t="s">
        <v>28</v>
      </c>
      <c r="J97" t="s">
        <v>20</v>
      </c>
      <c r="K97" t="s">
        <v>69</v>
      </c>
      <c r="L97" t="s">
        <v>38</v>
      </c>
    </row>
    <row r="98" spans="1:12" x14ac:dyDescent="0.3">
      <c r="A98" t="s">
        <v>392</v>
      </c>
      <c r="B98" t="s">
        <v>393</v>
      </c>
      <c r="C98" t="s">
        <v>394</v>
      </c>
      <c r="D98" t="s">
        <v>395</v>
      </c>
      <c r="E98" t="s">
        <v>16</v>
      </c>
      <c r="F98">
        <v>5704</v>
      </c>
      <c r="G98" t="s">
        <v>35</v>
      </c>
      <c r="H98" t="s">
        <v>85</v>
      </c>
      <c r="I98" t="s">
        <v>28</v>
      </c>
      <c r="J98" t="s">
        <v>95</v>
      </c>
      <c r="K98" t="s">
        <v>69</v>
      </c>
      <c r="L98" t="s">
        <v>38</v>
      </c>
    </row>
    <row r="99" spans="1:12" x14ac:dyDescent="0.3">
      <c r="A99" t="s">
        <v>396</v>
      </c>
      <c r="B99" t="s">
        <v>397</v>
      </c>
      <c r="C99" t="s">
        <v>398</v>
      </c>
      <c r="D99" t="s">
        <v>399</v>
      </c>
      <c r="E99" t="s">
        <v>34</v>
      </c>
      <c r="F99">
        <v>6324</v>
      </c>
      <c r="G99" t="s">
        <v>17</v>
      </c>
      <c r="H99" t="s">
        <v>45</v>
      </c>
      <c r="I99" t="s">
        <v>28</v>
      </c>
      <c r="J99" t="s">
        <v>46</v>
      </c>
      <c r="K99" t="s">
        <v>80</v>
      </c>
      <c r="L99" t="s">
        <v>38</v>
      </c>
    </row>
    <row r="100" spans="1:12" x14ac:dyDescent="0.3">
      <c r="A100" t="s">
        <v>400</v>
      </c>
      <c r="B100" t="s">
        <v>401</v>
      </c>
      <c r="C100" t="s">
        <v>402</v>
      </c>
      <c r="D100" t="s">
        <v>56</v>
      </c>
      <c r="E100" t="s">
        <v>51</v>
      </c>
      <c r="F100">
        <v>13032</v>
      </c>
      <c r="G100" t="s">
        <v>17</v>
      </c>
      <c r="H100" t="s">
        <v>45</v>
      </c>
      <c r="I100" t="s">
        <v>19</v>
      </c>
      <c r="J100" t="s">
        <v>20</v>
      </c>
      <c r="K100" t="s">
        <v>69</v>
      </c>
      <c r="L100" t="s">
        <v>38</v>
      </c>
    </row>
    <row r="101" spans="1:12" x14ac:dyDescent="0.3">
      <c r="A101" t="s">
        <v>403</v>
      </c>
      <c r="B101" t="s">
        <v>404</v>
      </c>
      <c r="C101" t="s">
        <v>405</v>
      </c>
      <c r="D101" t="s">
        <v>406</v>
      </c>
      <c r="E101" t="s">
        <v>94</v>
      </c>
      <c r="F101">
        <v>7536</v>
      </c>
      <c r="G101" t="s">
        <v>44</v>
      </c>
      <c r="H101" t="s">
        <v>113</v>
      </c>
      <c r="I101" t="s">
        <v>19</v>
      </c>
      <c r="J101" t="s">
        <v>20</v>
      </c>
      <c r="K101" t="s">
        <v>57</v>
      </c>
      <c r="L101" t="s">
        <v>38</v>
      </c>
    </row>
    <row r="102" spans="1:12" x14ac:dyDescent="0.3">
      <c r="A102" t="s">
        <v>407</v>
      </c>
      <c r="B102" t="s">
        <v>135</v>
      </c>
      <c r="C102" t="s">
        <v>408</v>
      </c>
      <c r="D102" t="s">
        <v>409</v>
      </c>
      <c r="E102" t="s">
        <v>34</v>
      </c>
      <c r="F102">
        <v>6562</v>
      </c>
      <c r="G102" t="s">
        <v>63</v>
      </c>
      <c r="H102" t="s">
        <v>36</v>
      </c>
      <c r="I102" t="s">
        <v>28</v>
      </c>
      <c r="J102" t="s">
        <v>46</v>
      </c>
      <c r="K102" t="s">
        <v>80</v>
      </c>
      <c r="L102" t="s">
        <v>38</v>
      </c>
    </row>
    <row r="103" spans="1:12" x14ac:dyDescent="0.3">
      <c r="A103" t="s">
        <v>410</v>
      </c>
      <c r="B103" t="s">
        <v>411</v>
      </c>
      <c r="C103" t="s">
        <v>412</v>
      </c>
      <c r="D103" t="s">
        <v>154</v>
      </c>
      <c r="E103" t="s">
        <v>78</v>
      </c>
      <c r="F103">
        <v>638</v>
      </c>
      <c r="G103" t="s">
        <v>68</v>
      </c>
      <c r="H103" t="s">
        <v>52</v>
      </c>
      <c r="I103" t="s">
        <v>19</v>
      </c>
      <c r="J103" t="s">
        <v>95</v>
      </c>
      <c r="K103" t="s">
        <v>80</v>
      </c>
      <c r="L103" t="s">
        <v>38</v>
      </c>
    </row>
    <row r="104" spans="1:12" x14ac:dyDescent="0.3">
      <c r="A104" t="s">
        <v>413</v>
      </c>
      <c r="B104" t="s">
        <v>98</v>
      </c>
      <c r="C104" t="s">
        <v>414</v>
      </c>
      <c r="D104" t="s">
        <v>276</v>
      </c>
      <c r="E104" t="s">
        <v>51</v>
      </c>
      <c r="F104">
        <v>12507</v>
      </c>
      <c r="G104" t="s">
        <v>44</v>
      </c>
      <c r="H104" t="s">
        <v>52</v>
      </c>
      <c r="I104" t="s">
        <v>19</v>
      </c>
      <c r="J104" t="s">
        <v>20</v>
      </c>
      <c r="K104" t="s">
        <v>96</v>
      </c>
      <c r="L104" t="s">
        <v>38</v>
      </c>
    </row>
    <row r="105" spans="1:12" x14ac:dyDescent="0.3">
      <c r="A105" t="s">
        <v>415</v>
      </c>
      <c r="B105" t="s">
        <v>416</v>
      </c>
      <c r="C105" t="s">
        <v>417</v>
      </c>
      <c r="D105" t="s">
        <v>418</v>
      </c>
      <c r="E105" t="s">
        <v>78</v>
      </c>
      <c r="F105">
        <v>6191</v>
      </c>
      <c r="G105" t="s">
        <v>35</v>
      </c>
      <c r="H105" t="s">
        <v>36</v>
      </c>
      <c r="I105" t="s">
        <v>19</v>
      </c>
      <c r="J105" t="s">
        <v>20</v>
      </c>
      <c r="K105" t="s">
        <v>29</v>
      </c>
      <c r="L105" t="s">
        <v>38</v>
      </c>
    </row>
    <row r="106" spans="1:12" x14ac:dyDescent="0.3">
      <c r="A106" t="s">
        <v>419</v>
      </c>
      <c r="B106" t="s">
        <v>420</v>
      </c>
      <c r="C106" t="s">
        <v>421</v>
      </c>
      <c r="D106" t="s">
        <v>149</v>
      </c>
      <c r="E106" t="s">
        <v>51</v>
      </c>
      <c r="F106">
        <v>6317</v>
      </c>
      <c r="G106" t="s">
        <v>44</v>
      </c>
      <c r="H106" t="s">
        <v>27</v>
      </c>
      <c r="I106" t="s">
        <v>28</v>
      </c>
      <c r="J106" t="s">
        <v>95</v>
      </c>
      <c r="K106" t="s">
        <v>80</v>
      </c>
      <c r="L106" t="s">
        <v>38</v>
      </c>
    </row>
    <row r="107" spans="1:12" x14ac:dyDescent="0.3">
      <c r="A107" t="s">
        <v>422</v>
      </c>
      <c r="B107" t="s">
        <v>423</v>
      </c>
      <c r="C107" t="s">
        <v>424</v>
      </c>
      <c r="D107" t="s">
        <v>358</v>
      </c>
      <c r="E107" t="s">
        <v>62</v>
      </c>
      <c r="F107">
        <v>203</v>
      </c>
      <c r="G107" t="s">
        <v>44</v>
      </c>
      <c r="H107" t="s">
        <v>113</v>
      </c>
      <c r="I107" t="s">
        <v>19</v>
      </c>
      <c r="J107" t="s">
        <v>95</v>
      </c>
      <c r="K107" t="s">
        <v>57</v>
      </c>
      <c r="L107" t="s">
        <v>38</v>
      </c>
    </row>
    <row r="108" spans="1:12" x14ac:dyDescent="0.3">
      <c r="A108" t="s">
        <v>425</v>
      </c>
      <c r="B108" t="s">
        <v>31</v>
      </c>
      <c r="C108" t="s">
        <v>426</v>
      </c>
      <c r="D108" t="s">
        <v>427</v>
      </c>
      <c r="E108" t="s">
        <v>51</v>
      </c>
      <c r="F108">
        <v>7001</v>
      </c>
      <c r="G108" t="s">
        <v>35</v>
      </c>
      <c r="H108" t="s">
        <v>36</v>
      </c>
      <c r="I108" t="s">
        <v>28</v>
      </c>
      <c r="J108" t="s">
        <v>46</v>
      </c>
      <c r="K108" t="s">
        <v>96</v>
      </c>
      <c r="L108" t="s">
        <v>38</v>
      </c>
    </row>
    <row r="109" spans="1:12" x14ac:dyDescent="0.3">
      <c r="A109" t="s">
        <v>428</v>
      </c>
      <c r="B109" t="s">
        <v>274</v>
      </c>
      <c r="C109" t="s">
        <v>287</v>
      </c>
      <c r="D109" t="s">
        <v>429</v>
      </c>
      <c r="E109" t="s">
        <v>94</v>
      </c>
      <c r="F109">
        <v>9467</v>
      </c>
      <c r="G109" t="s">
        <v>79</v>
      </c>
      <c r="H109" t="s">
        <v>36</v>
      </c>
      <c r="I109" t="s">
        <v>28</v>
      </c>
      <c r="J109" t="s">
        <v>46</v>
      </c>
      <c r="K109" t="s">
        <v>96</v>
      </c>
      <c r="L109" t="s">
        <v>38</v>
      </c>
    </row>
    <row r="110" spans="1:12" x14ac:dyDescent="0.3">
      <c r="A110" t="s">
        <v>430</v>
      </c>
      <c r="B110" t="s">
        <v>213</v>
      </c>
      <c r="C110" t="s">
        <v>431</v>
      </c>
      <c r="D110" t="s">
        <v>121</v>
      </c>
      <c r="E110" t="s">
        <v>34</v>
      </c>
      <c r="F110">
        <v>853</v>
      </c>
      <c r="G110" t="s">
        <v>63</v>
      </c>
      <c r="H110" t="s">
        <v>27</v>
      </c>
      <c r="I110" t="s">
        <v>28</v>
      </c>
      <c r="J110" t="s">
        <v>46</v>
      </c>
      <c r="K110" t="s">
        <v>29</v>
      </c>
      <c r="L110" t="s">
        <v>38</v>
      </c>
    </row>
    <row r="111" spans="1:12" x14ac:dyDescent="0.3">
      <c r="A111" t="s">
        <v>432</v>
      </c>
      <c r="B111" t="s">
        <v>433</v>
      </c>
      <c r="C111" t="s">
        <v>434</v>
      </c>
      <c r="D111" t="s">
        <v>391</v>
      </c>
      <c r="E111" t="s">
        <v>94</v>
      </c>
      <c r="F111">
        <v>11154</v>
      </c>
      <c r="G111" t="s">
        <v>17</v>
      </c>
      <c r="H111" t="s">
        <v>105</v>
      </c>
      <c r="I111" t="s">
        <v>28</v>
      </c>
      <c r="J111" t="s">
        <v>20</v>
      </c>
      <c r="K111" t="s">
        <v>69</v>
      </c>
      <c r="L111" t="s">
        <v>38</v>
      </c>
    </row>
    <row r="112" spans="1:12" x14ac:dyDescent="0.3">
      <c r="A112" t="s">
        <v>435</v>
      </c>
      <c r="B112" t="s">
        <v>24</v>
      </c>
      <c r="C112" t="s">
        <v>436</v>
      </c>
      <c r="D112" t="s">
        <v>437</v>
      </c>
      <c r="E112" t="s">
        <v>43</v>
      </c>
      <c r="F112">
        <v>12048</v>
      </c>
      <c r="G112" t="s">
        <v>35</v>
      </c>
      <c r="H112" t="s">
        <v>36</v>
      </c>
      <c r="I112" t="s">
        <v>19</v>
      </c>
      <c r="J112" t="s">
        <v>46</v>
      </c>
      <c r="K112" t="s">
        <v>29</v>
      </c>
      <c r="L112" t="s">
        <v>38</v>
      </c>
    </row>
    <row r="113" spans="1:12" x14ac:dyDescent="0.3">
      <c r="A113" t="s">
        <v>438</v>
      </c>
      <c r="B113" t="s">
        <v>439</v>
      </c>
      <c r="C113" t="s">
        <v>440</v>
      </c>
      <c r="D113" t="s">
        <v>441</v>
      </c>
      <c r="E113" t="s">
        <v>16</v>
      </c>
      <c r="F113">
        <v>6044</v>
      </c>
      <c r="G113" t="s">
        <v>17</v>
      </c>
      <c r="H113" t="s">
        <v>113</v>
      </c>
      <c r="I113" t="s">
        <v>28</v>
      </c>
      <c r="J113" t="s">
        <v>46</v>
      </c>
      <c r="K113" t="s">
        <v>69</v>
      </c>
      <c r="L113" t="s">
        <v>38</v>
      </c>
    </row>
    <row r="114" spans="1:12" x14ac:dyDescent="0.3">
      <c r="A114" t="s">
        <v>442</v>
      </c>
      <c r="B114" t="s">
        <v>443</v>
      </c>
      <c r="C114" t="s">
        <v>444</v>
      </c>
      <c r="D114" t="s">
        <v>222</v>
      </c>
      <c r="E114" t="s">
        <v>51</v>
      </c>
      <c r="F114">
        <v>5599</v>
      </c>
      <c r="G114" t="s">
        <v>79</v>
      </c>
      <c r="H114" t="s">
        <v>27</v>
      </c>
      <c r="I114" t="s">
        <v>28</v>
      </c>
      <c r="J114" t="s">
        <v>20</v>
      </c>
      <c r="K114" t="s">
        <v>69</v>
      </c>
      <c r="L114" t="s">
        <v>38</v>
      </c>
    </row>
    <row r="115" spans="1:12" x14ac:dyDescent="0.3">
      <c r="A115" t="s">
        <v>445</v>
      </c>
      <c r="B115" t="s">
        <v>446</v>
      </c>
      <c r="C115" t="s">
        <v>447</v>
      </c>
      <c r="D115" t="s">
        <v>182</v>
      </c>
      <c r="E115" t="s">
        <v>16</v>
      </c>
      <c r="F115">
        <v>71717</v>
      </c>
      <c r="G115" t="s">
        <v>63</v>
      </c>
      <c r="H115" t="s">
        <v>18</v>
      </c>
      <c r="I115" t="s">
        <v>28</v>
      </c>
      <c r="J115" t="s">
        <v>46</v>
      </c>
      <c r="K115" t="s">
        <v>37</v>
      </c>
      <c r="L115" t="s">
        <v>22</v>
      </c>
    </row>
    <row r="116" spans="1:12" x14ac:dyDescent="0.3">
      <c r="A116" t="s">
        <v>448</v>
      </c>
      <c r="B116" t="s">
        <v>230</v>
      </c>
      <c r="C116" t="s">
        <v>449</v>
      </c>
      <c r="D116" t="s">
        <v>450</v>
      </c>
      <c r="E116" t="s">
        <v>43</v>
      </c>
      <c r="F116">
        <v>6292</v>
      </c>
      <c r="G116" t="s">
        <v>79</v>
      </c>
      <c r="H116" t="s">
        <v>85</v>
      </c>
      <c r="I116" t="s">
        <v>19</v>
      </c>
      <c r="J116" t="s">
        <v>95</v>
      </c>
      <c r="K116" t="s">
        <v>21</v>
      </c>
      <c r="L116" t="s">
        <v>38</v>
      </c>
    </row>
    <row r="117" spans="1:12" x14ac:dyDescent="0.3">
      <c r="A117" t="s">
        <v>451</v>
      </c>
      <c r="B117" t="s">
        <v>452</v>
      </c>
      <c r="C117" t="s">
        <v>453</v>
      </c>
      <c r="D117" t="s">
        <v>454</v>
      </c>
      <c r="E117" t="s">
        <v>94</v>
      </c>
      <c r="F117">
        <v>3676</v>
      </c>
      <c r="G117" t="s">
        <v>35</v>
      </c>
      <c r="H117" t="s">
        <v>52</v>
      </c>
      <c r="I117" t="s">
        <v>28</v>
      </c>
      <c r="J117" t="s">
        <v>46</v>
      </c>
      <c r="K117" t="s">
        <v>96</v>
      </c>
      <c r="L117" t="s">
        <v>38</v>
      </c>
    </row>
    <row r="118" spans="1:12" x14ac:dyDescent="0.3">
      <c r="A118" t="s">
        <v>455</v>
      </c>
      <c r="B118" t="s">
        <v>48</v>
      </c>
      <c r="C118" t="s">
        <v>456</v>
      </c>
      <c r="D118" t="s">
        <v>457</v>
      </c>
      <c r="E118" t="s">
        <v>43</v>
      </c>
      <c r="F118">
        <v>5036</v>
      </c>
      <c r="G118" t="s">
        <v>44</v>
      </c>
      <c r="H118" t="s">
        <v>113</v>
      </c>
      <c r="I118" t="s">
        <v>28</v>
      </c>
      <c r="J118" t="s">
        <v>20</v>
      </c>
      <c r="K118" t="s">
        <v>57</v>
      </c>
      <c r="L118" t="s">
        <v>38</v>
      </c>
    </row>
    <row r="119" spans="1:12" x14ac:dyDescent="0.3">
      <c r="A119" t="s">
        <v>458</v>
      </c>
      <c r="B119" t="s">
        <v>459</v>
      </c>
      <c r="C119" t="s">
        <v>460</v>
      </c>
      <c r="D119" t="s">
        <v>461</v>
      </c>
      <c r="E119" t="s">
        <v>16</v>
      </c>
      <c r="F119">
        <v>11461</v>
      </c>
      <c r="G119" t="s">
        <v>68</v>
      </c>
      <c r="H119" t="s">
        <v>113</v>
      </c>
      <c r="I119" t="s">
        <v>28</v>
      </c>
      <c r="J119" t="s">
        <v>95</v>
      </c>
      <c r="K119" t="s">
        <v>80</v>
      </c>
      <c r="L119" t="s">
        <v>38</v>
      </c>
    </row>
    <row r="120" spans="1:12" x14ac:dyDescent="0.3">
      <c r="A120" t="s">
        <v>462</v>
      </c>
      <c r="B120" t="s">
        <v>463</v>
      </c>
      <c r="C120" t="s">
        <v>464</v>
      </c>
      <c r="D120" t="s">
        <v>457</v>
      </c>
      <c r="E120" t="s">
        <v>94</v>
      </c>
      <c r="F120">
        <v>4633</v>
      </c>
      <c r="G120" t="s">
        <v>44</v>
      </c>
      <c r="H120" t="s">
        <v>85</v>
      </c>
      <c r="I120" t="s">
        <v>28</v>
      </c>
      <c r="J120" t="s">
        <v>46</v>
      </c>
      <c r="K120" t="s">
        <v>29</v>
      </c>
      <c r="L120" t="s">
        <v>38</v>
      </c>
    </row>
    <row r="121" spans="1:12" x14ac:dyDescent="0.3">
      <c r="A121" t="s">
        <v>465</v>
      </c>
      <c r="B121" t="s">
        <v>404</v>
      </c>
      <c r="C121" t="s">
        <v>466</v>
      </c>
      <c r="D121" t="s">
        <v>467</v>
      </c>
      <c r="E121" t="s">
        <v>43</v>
      </c>
      <c r="F121">
        <v>6068</v>
      </c>
      <c r="G121" t="s">
        <v>17</v>
      </c>
      <c r="H121" t="s">
        <v>27</v>
      </c>
      <c r="I121" t="s">
        <v>19</v>
      </c>
      <c r="J121" t="s">
        <v>46</v>
      </c>
      <c r="K121" t="s">
        <v>69</v>
      </c>
      <c r="L121" t="s">
        <v>38</v>
      </c>
    </row>
    <row r="122" spans="1:12" x14ac:dyDescent="0.3">
      <c r="A122" t="s">
        <v>468</v>
      </c>
      <c r="B122" t="s">
        <v>180</v>
      </c>
      <c r="C122" t="s">
        <v>469</v>
      </c>
      <c r="D122" t="s">
        <v>470</v>
      </c>
      <c r="E122" t="s">
        <v>43</v>
      </c>
      <c r="F122">
        <v>10563</v>
      </c>
      <c r="G122" t="s">
        <v>79</v>
      </c>
      <c r="H122" t="s">
        <v>113</v>
      </c>
      <c r="I122" t="s">
        <v>19</v>
      </c>
      <c r="J122" t="s">
        <v>46</v>
      </c>
      <c r="K122" t="s">
        <v>96</v>
      </c>
      <c r="L122" t="s">
        <v>38</v>
      </c>
    </row>
    <row r="123" spans="1:12" x14ac:dyDescent="0.3">
      <c r="A123" t="s">
        <v>471</v>
      </c>
      <c r="B123" t="s">
        <v>224</v>
      </c>
      <c r="C123" t="s">
        <v>472</v>
      </c>
      <c r="D123" t="s">
        <v>56</v>
      </c>
      <c r="E123" t="s">
        <v>62</v>
      </c>
      <c r="F123">
        <v>13371</v>
      </c>
      <c r="G123" t="s">
        <v>35</v>
      </c>
      <c r="H123" t="s">
        <v>105</v>
      </c>
      <c r="I123" t="s">
        <v>28</v>
      </c>
      <c r="J123" t="s">
        <v>20</v>
      </c>
      <c r="K123" t="s">
        <v>69</v>
      </c>
      <c r="L123" t="s">
        <v>38</v>
      </c>
    </row>
    <row r="124" spans="1:12" x14ac:dyDescent="0.3">
      <c r="A124" t="s">
        <v>473</v>
      </c>
      <c r="B124" t="s">
        <v>474</v>
      </c>
      <c r="C124" t="s">
        <v>475</v>
      </c>
      <c r="D124" t="s">
        <v>476</v>
      </c>
      <c r="E124" t="s">
        <v>43</v>
      </c>
      <c r="F124">
        <v>13132</v>
      </c>
      <c r="G124" t="s">
        <v>44</v>
      </c>
      <c r="H124" t="s">
        <v>105</v>
      </c>
      <c r="I124" t="s">
        <v>19</v>
      </c>
      <c r="J124" t="s">
        <v>95</v>
      </c>
      <c r="K124" t="s">
        <v>96</v>
      </c>
      <c r="L124" t="s">
        <v>38</v>
      </c>
    </row>
    <row r="125" spans="1:12" x14ac:dyDescent="0.3">
      <c r="A125" t="s">
        <v>477</v>
      </c>
      <c r="B125" t="s">
        <v>478</v>
      </c>
      <c r="C125" t="s">
        <v>479</v>
      </c>
      <c r="D125" t="s">
        <v>215</v>
      </c>
      <c r="E125" t="s">
        <v>62</v>
      </c>
      <c r="F125">
        <v>308</v>
      </c>
      <c r="G125" t="s">
        <v>68</v>
      </c>
      <c r="H125" t="s">
        <v>36</v>
      </c>
      <c r="I125" t="s">
        <v>19</v>
      </c>
      <c r="J125" t="s">
        <v>20</v>
      </c>
      <c r="K125" t="s">
        <v>80</v>
      </c>
      <c r="L125" t="s">
        <v>38</v>
      </c>
    </row>
    <row r="126" spans="1:12" x14ac:dyDescent="0.3">
      <c r="A126" t="s">
        <v>480</v>
      </c>
      <c r="B126" t="s">
        <v>282</v>
      </c>
      <c r="C126" t="s">
        <v>357</v>
      </c>
      <c r="D126" t="s">
        <v>481</v>
      </c>
      <c r="E126" t="s">
        <v>16</v>
      </c>
      <c r="F126">
        <v>5981</v>
      </c>
      <c r="G126" t="s">
        <v>63</v>
      </c>
      <c r="H126" t="s">
        <v>27</v>
      </c>
      <c r="I126" t="s">
        <v>19</v>
      </c>
      <c r="J126" t="s">
        <v>20</v>
      </c>
      <c r="K126" t="s">
        <v>80</v>
      </c>
      <c r="L126" t="s">
        <v>38</v>
      </c>
    </row>
    <row r="127" spans="1:12" x14ac:dyDescent="0.3">
      <c r="A127" t="s">
        <v>482</v>
      </c>
      <c r="B127" t="s">
        <v>483</v>
      </c>
      <c r="C127" t="s">
        <v>484</v>
      </c>
      <c r="D127" t="s">
        <v>485</v>
      </c>
      <c r="E127" t="s">
        <v>43</v>
      </c>
      <c r="F127">
        <v>10590</v>
      </c>
      <c r="G127" t="s">
        <v>68</v>
      </c>
      <c r="H127" t="s">
        <v>36</v>
      </c>
      <c r="I127" t="s">
        <v>28</v>
      </c>
      <c r="J127" t="s">
        <v>46</v>
      </c>
      <c r="K127" t="s">
        <v>80</v>
      </c>
      <c r="L127" t="s">
        <v>38</v>
      </c>
    </row>
    <row r="128" spans="1:12" x14ac:dyDescent="0.3">
      <c r="A128" t="s">
        <v>486</v>
      </c>
      <c r="B128" t="s">
        <v>463</v>
      </c>
      <c r="C128" t="s">
        <v>487</v>
      </c>
      <c r="D128" t="s">
        <v>488</v>
      </c>
      <c r="E128" t="s">
        <v>43</v>
      </c>
      <c r="F128">
        <v>7317</v>
      </c>
      <c r="G128" t="s">
        <v>44</v>
      </c>
      <c r="H128" t="s">
        <v>113</v>
      </c>
      <c r="I128" t="s">
        <v>19</v>
      </c>
      <c r="J128" t="s">
        <v>46</v>
      </c>
      <c r="K128" t="s">
        <v>29</v>
      </c>
      <c r="L128" t="s">
        <v>38</v>
      </c>
    </row>
    <row r="129" spans="1:12" x14ac:dyDescent="0.3">
      <c r="A129" t="s">
        <v>489</v>
      </c>
      <c r="B129" t="s">
        <v>490</v>
      </c>
      <c r="C129" t="s">
        <v>491</v>
      </c>
      <c r="D129" t="s">
        <v>339</v>
      </c>
      <c r="E129" t="s">
        <v>51</v>
      </c>
      <c r="F129">
        <v>9034</v>
      </c>
      <c r="G129" t="s">
        <v>79</v>
      </c>
      <c r="H129" t="s">
        <v>52</v>
      </c>
      <c r="I129" t="s">
        <v>28</v>
      </c>
      <c r="J129" t="s">
        <v>95</v>
      </c>
      <c r="K129" t="s">
        <v>21</v>
      </c>
      <c r="L129" t="s">
        <v>38</v>
      </c>
    </row>
    <row r="130" spans="1:12" x14ac:dyDescent="0.3">
      <c r="A130" t="s">
        <v>492</v>
      </c>
      <c r="B130" t="s">
        <v>493</v>
      </c>
      <c r="C130" t="s">
        <v>494</v>
      </c>
      <c r="D130" t="s">
        <v>495</v>
      </c>
      <c r="E130" t="s">
        <v>16</v>
      </c>
      <c r="F130">
        <v>34996</v>
      </c>
      <c r="G130" t="s">
        <v>44</v>
      </c>
      <c r="H130" t="s">
        <v>85</v>
      </c>
      <c r="I130" t="s">
        <v>19</v>
      </c>
      <c r="J130" t="s">
        <v>20</v>
      </c>
      <c r="K130" t="s">
        <v>57</v>
      </c>
      <c r="L130" t="s">
        <v>22</v>
      </c>
    </row>
    <row r="131" spans="1:12" x14ac:dyDescent="0.3">
      <c r="A131" t="s">
        <v>496</v>
      </c>
      <c r="B131" t="s">
        <v>59</v>
      </c>
      <c r="C131" t="s">
        <v>497</v>
      </c>
      <c r="D131" t="s">
        <v>141</v>
      </c>
      <c r="E131" t="s">
        <v>62</v>
      </c>
      <c r="F131">
        <v>12003</v>
      </c>
      <c r="G131" t="s">
        <v>63</v>
      </c>
      <c r="H131" t="s">
        <v>52</v>
      </c>
      <c r="I131" t="s">
        <v>28</v>
      </c>
      <c r="J131" t="s">
        <v>46</v>
      </c>
      <c r="K131" t="s">
        <v>29</v>
      </c>
      <c r="L131" t="s">
        <v>38</v>
      </c>
    </row>
    <row r="132" spans="1:12" x14ac:dyDescent="0.3">
      <c r="A132" t="s">
        <v>498</v>
      </c>
      <c r="B132" t="s">
        <v>282</v>
      </c>
      <c r="C132" t="s">
        <v>499</v>
      </c>
      <c r="D132" t="s">
        <v>84</v>
      </c>
      <c r="E132" t="s">
        <v>16</v>
      </c>
      <c r="F132">
        <v>31188</v>
      </c>
      <c r="G132" t="s">
        <v>68</v>
      </c>
      <c r="H132" t="s">
        <v>45</v>
      </c>
      <c r="I132" t="s">
        <v>19</v>
      </c>
      <c r="J132" t="s">
        <v>46</v>
      </c>
      <c r="K132" t="s">
        <v>21</v>
      </c>
      <c r="L132" t="s">
        <v>22</v>
      </c>
    </row>
    <row r="133" spans="1:12" x14ac:dyDescent="0.3">
      <c r="A133" t="s">
        <v>500</v>
      </c>
      <c r="B133" t="s">
        <v>31</v>
      </c>
      <c r="C133" t="s">
        <v>501</v>
      </c>
      <c r="D133" t="s">
        <v>502</v>
      </c>
      <c r="E133" t="s">
        <v>94</v>
      </c>
      <c r="F133">
        <v>9252</v>
      </c>
      <c r="G133" t="s">
        <v>63</v>
      </c>
      <c r="H133" t="s">
        <v>45</v>
      </c>
      <c r="I133" t="s">
        <v>28</v>
      </c>
      <c r="J133" t="s">
        <v>20</v>
      </c>
      <c r="K133" t="s">
        <v>69</v>
      </c>
      <c r="L133" t="s">
        <v>38</v>
      </c>
    </row>
    <row r="134" spans="1:12" x14ac:dyDescent="0.3">
      <c r="A134" t="s">
        <v>503</v>
      </c>
      <c r="B134" t="s">
        <v>377</v>
      </c>
      <c r="C134" t="s">
        <v>504</v>
      </c>
      <c r="D134" t="s">
        <v>505</v>
      </c>
      <c r="E134" t="s">
        <v>62</v>
      </c>
      <c r="F134">
        <v>9887</v>
      </c>
      <c r="G134" t="s">
        <v>17</v>
      </c>
      <c r="H134" t="s">
        <v>27</v>
      </c>
      <c r="I134" t="s">
        <v>19</v>
      </c>
      <c r="J134" t="s">
        <v>20</v>
      </c>
      <c r="K134" t="s">
        <v>80</v>
      </c>
      <c r="L134" t="s">
        <v>38</v>
      </c>
    </row>
    <row r="135" spans="1:12" x14ac:dyDescent="0.3">
      <c r="A135" t="s">
        <v>506</v>
      </c>
      <c r="B135" t="s">
        <v>507</v>
      </c>
      <c r="C135" t="s">
        <v>508</v>
      </c>
      <c r="D135" t="s">
        <v>280</v>
      </c>
      <c r="E135" t="s">
        <v>43</v>
      </c>
      <c r="F135">
        <v>5786</v>
      </c>
      <c r="G135" t="s">
        <v>79</v>
      </c>
      <c r="H135" t="s">
        <v>27</v>
      </c>
      <c r="I135" t="s">
        <v>28</v>
      </c>
      <c r="J135" t="s">
        <v>46</v>
      </c>
      <c r="K135" t="s">
        <v>69</v>
      </c>
      <c r="L135" t="s">
        <v>38</v>
      </c>
    </row>
    <row r="136" spans="1:12" x14ac:dyDescent="0.3">
      <c r="A136" t="s">
        <v>509</v>
      </c>
      <c r="B136" t="s">
        <v>490</v>
      </c>
      <c r="C136" t="s">
        <v>510</v>
      </c>
      <c r="D136" t="s">
        <v>511</v>
      </c>
      <c r="E136" t="s">
        <v>16</v>
      </c>
      <c r="F136">
        <v>10579</v>
      </c>
      <c r="G136" t="s">
        <v>44</v>
      </c>
      <c r="H136" t="s">
        <v>52</v>
      </c>
      <c r="I136" t="s">
        <v>19</v>
      </c>
      <c r="J136" t="s">
        <v>95</v>
      </c>
      <c r="K136" t="s">
        <v>29</v>
      </c>
      <c r="L136" t="s">
        <v>38</v>
      </c>
    </row>
    <row r="137" spans="1:12" x14ac:dyDescent="0.3">
      <c r="A137" t="s">
        <v>512</v>
      </c>
      <c r="B137" t="s">
        <v>356</v>
      </c>
      <c r="C137" t="s">
        <v>513</v>
      </c>
      <c r="D137" t="s">
        <v>461</v>
      </c>
      <c r="E137" t="s">
        <v>43</v>
      </c>
      <c r="F137">
        <v>5617</v>
      </c>
      <c r="G137" t="s">
        <v>35</v>
      </c>
      <c r="H137" t="s">
        <v>113</v>
      </c>
      <c r="I137" t="s">
        <v>28</v>
      </c>
      <c r="J137" t="s">
        <v>20</v>
      </c>
      <c r="K137" t="s">
        <v>96</v>
      </c>
      <c r="L137" t="s">
        <v>38</v>
      </c>
    </row>
    <row r="138" spans="1:12" x14ac:dyDescent="0.3">
      <c r="A138" t="s">
        <v>514</v>
      </c>
      <c r="B138" t="s">
        <v>515</v>
      </c>
      <c r="C138" t="s">
        <v>516</v>
      </c>
      <c r="D138" t="s">
        <v>517</v>
      </c>
      <c r="E138" t="s">
        <v>78</v>
      </c>
      <c r="F138">
        <v>1553</v>
      </c>
      <c r="G138" t="s">
        <v>44</v>
      </c>
      <c r="H138" t="s">
        <v>85</v>
      </c>
      <c r="I138" t="s">
        <v>28</v>
      </c>
      <c r="J138" t="s">
        <v>46</v>
      </c>
      <c r="K138" t="s">
        <v>29</v>
      </c>
      <c r="L138" t="s">
        <v>38</v>
      </c>
    </row>
    <row r="139" spans="1:12" x14ac:dyDescent="0.3">
      <c r="A139" t="s">
        <v>518</v>
      </c>
      <c r="B139" t="s">
        <v>519</v>
      </c>
      <c r="C139" t="s">
        <v>520</v>
      </c>
      <c r="D139" t="s">
        <v>418</v>
      </c>
      <c r="E139" t="s">
        <v>43</v>
      </c>
      <c r="F139">
        <v>12777</v>
      </c>
      <c r="G139" t="s">
        <v>17</v>
      </c>
      <c r="H139" t="s">
        <v>105</v>
      </c>
      <c r="I139" t="s">
        <v>19</v>
      </c>
      <c r="J139" t="s">
        <v>20</v>
      </c>
      <c r="K139" t="s">
        <v>37</v>
      </c>
      <c r="L139" t="s">
        <v>38</v>
      </c>
    </row>
    <row r="140" spans="1:12" x14ac:dyDescent="0.3">
      <c r="A140" t="s">
        <v>521</v>
      </c>
      <c r="B140" t="s">
        <v>522</v>
      </c>
      <c r="C140" t="s">
        <v>523</v>
      </c>
      <c r="D140" t="s">
        <v>524</v>
      </c>
      <c r="E140" t="s">
        <v>51</v>
      </c>
      <c r="F140">
        <v>9996</v>
      </c>
      <c r="G140" t="s">
        <v>68</v>
      </c>
      <c r="H140" t="s">
        <v>18</v>
      </c>
      <c r="I140" t="s">
        <v>28</v>
      </c>
      <c r="J140" t="s">
        <v>46</v>
      </c>
      <c r="K140" t="s">
        <v>57</v>
      </c>
      <c r="L140" t="s">
        <v>38</v>
      </c>
    </row>
    <row r="141" spans="1:12" x14ac:dyDescent="0.3">
      <c r="A141" t="s">
        <v>525</v>
      </c>
      <c r="B141" t="s">
        <v>526</v>
      </c>
      <c r="C141" t="s">
        <v>527</v>
      </c>
      <c r="D141" t="s">
        <v>528</v>
      </c>
      <c r="E141" t="s">
        <v>16</v>
      </c>
      <c r="F141">
        <v>9767</v>
      </c>
      <c r="G141" t="s">
        <v>79</v>
      </c>
      <c r="H141" t="s">
        <v>105</v>
      </c>
      <c r="I141" t="s">
        <v>19</v>
      </c>
      <c r="J141" t="s">
        <v>95</v>
      </c>
      <c r="K141" t="s">
        <v>57</v>
      </c>
      <c r="L141" t="s">
        <v>38</v>
      </c>
    </row>
    <row r="142" spans="1:12" x14ac:dyDescent="0.3">
      <c r="A142" t="s">
        <v>529</v>
      </c>
      <c r="B142" t="s">
        <v>416</v>
      </c>
      <c r="C142" t="s">
        <v>530</v>
      </c>
      <c r="D142" t="s">
        <v>33</v>
      </c>
      <c r="E142" t="s">
        <v>16</v>
      </c>
      <c r="F142">
        <v>59507</v>
      </c>
      <c r="G142" t="s">
        <v>68</v>
      </c>
      <c r="H142" t="s">
        <v>52</v>
      </c>
      <c r="I142" t="s">
        <v>28</v>
      </c>
      <c r="J142" t="s">
        <v>20</v>
      </c>
      <c r="K142" t="s">
        <v>37</v>
      </c>
      <c r="L142" t="s">
        <v>22</v>
      </c>
    </row>
    <row r="143" spans="1:12" x14ac:dyDescent="0.3">
      <c r="A143" t="s">
        <v>531</v>
      </c>
      <c r="B143" t="s">
        <v>532</v>
      </c>
      <c r="C143" t="s">
        <v>533</v>
      </c>
      <c r="D143" t="s">
        <v>476</v>
      </c>
      <c r="E143" t="s">
        <v>78</v>
      </c>
      <c r="F143">
        <v>7105</v>
      </c>
      <c r="G143" t="s">
        <v>17</v>
      </c>
      <c r="H143" t="s">
        <v>27</v>
      </c>
      <c r="I143" t="s">
        <v>28</v>
      </c>
      <c r="J143" t="s">
        <v>46</v>
      </c>
      <c r="K143" t="s">
        <v>96</v>
      </c>
      <c r="L143" t="s">
        <v>38</v>
      </c>
    </row>
    <row r="144" spans="1:12" x14ac:dyDescent="0.3">
      <c r="A144" t="s">
        <v>534</v>
      </c>
      <c r="B144" t="s">
        <v>535</v>
      </c>
      <c r="C144" t="s">
        <v>536</v>
      </c>
      <c r="D144" t="s">
        <v>537</v>
      </c>
      <c r="E144" t="s">
        <v>34</v>
      </c>
      <c r="F144">
        <v>7582</v>
      </c>
      <c r="G144" t="s">
        <v>63</v>
      </c>
      <c r="H144" t="s">
        <v>36</v>
      </c>
      <c r="I144" t="s">
        <v>28</v>
      </c>
      <c r="J144" t="s">
        <v>46</v>
      </c>
      <c r="K144" t="s">
        <v>80</v>
      </c>
      <c r="L144" t="s">
        <v>38</v>
      </c>
    </row>
    <row r="145" spans="1:12" x14ac:dyDescent="0.3">
      <c r="A145" t="s">
        <v>538</v>
      </c>
      <c r="B145" t="s">
        <v>539</v>
      </c>
      <c r="C145" t="s">
        <v>540</v>
      </c>
      <c r="D145" t="s">
        <v>511</v>
      </c>
      <c r="E145" t="s">
        <v>62</v>
      </c>
      <c r="F145">
        <v>6686</v>
      </c>
      <c r="G145" t="s">
        <v>17</v>
      </c>
      <c r="H145" t="s">
        <v>85</v>
      </c>
      <c r="I145" t="s">
        <v>28</v>
      </c>
      <c r="J145" t="s">
        <v>20</v>
      </c>
      <c r="K145" t="s">
        <v>96</v>
      </c>
      <c r="L145" t="s">
        <v>38</v>
      </c>
    </row>
    <row r="146" spans="1:12" x14ac:dyDescent="0.3">
      <c r="A146" t="s">
        <v>541</v>
      </c>
      <c r="B146" t="s">
        <v>542</v>
      </c>
      <c r="C146" t="s">
        <v>543</v>
      </c>
      <c r="D146" t="s">
        <v>409</v>
      </c>
      <c r="E146" t="s">
        <v>16</v>
      </c>
      <c r="F146">
        <v>9698</v>
      </c>
      <c r="G146" t="s">
        <v>44</v>
      </c>
      <c r="H146" t="s">
        <v>52</v>
      </c>
      <c r="I146" t="s">
        <v>28</v>
      </c>
      <c r="J146" t="s">
        <v>20</v>
      </c>
      <c r="K146" t="s">
        <v>29</v>
      </c>
      <c r="L146" t="s">
        <v>38</v>
      </c>
    </row>
    <row r="147" spans="1:12" x14ac:dyDescent="0.3">
      <c r="A147" t="s">
        <v>544</v>
      </c>
      <c r="B147" t="s">
        <v>65</v>
      </c>
      <c r="C147" t="s">
        <v>545</v>
      </c>
      <c r="D147" t="s">
        <v>385</v>
      </c>
      <c r="E147" t="s">
        <v>16</v>
      </c>
      <c r="F147">
        <v>34945</v>
      </c>
      <c r="G147" t="s">
        <v>63</v>
      </c>
      <c r="H147" t="s">
        <v>45</v>
      </c>
      <c r="I147" t="s">
        <v>28</v>
      </c>
      <c r="J147" t="s">
        <v>20</v>
      </c>
      <c r="K147" t="s">
        <v>80</v>
      </c>
      <c r="L147" t="s">
        <v>22</v>
      </c>
    </row>
    <row r="148" spans="1:12" x14ac:dyDescent="0.3">
      <c r="A148" t="s">
        <v>546</v>
      </c>
      <c r="B148" t="s">
        <v>547</v>
      </c>
      <c r="C148" t="s">
        <v>548</v>
      </c>
      <c r="D148" t="s">
        <v>427</v>
      </c>
      <c r="E148" t="s">
        <v>78</v>
      </c>
      <c r="F148">
        <v>2449</v>
      </c>
      <c r="G148" t="s">
        <v>63</v>
      </c>
      <c r="H148" t="s">
        <v>113</v>
      </c>
      <c r="I148" t="s">
        <v>19</v>
      </c>
      <c r="J148" t="s">
        <v>20</v>
      </c>
      <c r="K148" t="s">
        <v>29</v>
      </c>
      <c r="L148" t="s">
        <v>38</v>
      </c>
    </row>
    <row r="149" spans="1:12" x14ac:dyDescent="0.3">
      <c r="A149" t="s">
        <v>549</v>
      </c>
      <c r="B149" t="s">
        <v>550</v>
      </c>
      <c r="C149" t="s">
        <v>551</v>
      </c>
      <c r="D149" t="s">
        <v>399</v>
      </c>
      <c r="E149" t="s">
        <v>94</v>
      </c>
      <c r="F149">
        <v>9286</v>
      </c>
      <c r="G149" t="s">
        <v>17</v>
      </c>
      <c r="H149" t="s">
        <v>45</v>
      </c>
      <c r="I149" t="s">
        <v>28</v>
      </c>
      <c r="J149" t="s">
        <v>95</v>
      </c>
      <c r="K149" t="s">
        <v>29</v>
      </c>
      <c r="L149" t="s">
        <v>38</v>
      </c>
    </row>
    <row r="150" spans="1:12" x14ac:dyDescent="0.3">
      <c r="A150" t="s">
        <v>552</v>
      </c>
      <c r="B150" t="s">
        <v>110</v>
      </c>
      <c r="C150" t="s">
        <v>553</v>
      </c>
      <c r="D150" t="s">
        <v>481</v>
      </c>
      <c r="E150" t="s">
        <v>34</v>
      </c>
      <c r="F150">
        <v>10394</v>
      </c>
      <c r="G150" t="s">
        <v>68</v>
      </c>
      <c r="H150" t="s">
        <v>105</v>
      </c>
      <c r="I150" t="s">
        <v>28</v>
      </c>
      <c r="J150" t="s">
        <v>46</v>
      </c>
      <c r="K150" t="s">
        <v>21</v>
      </c>
      <c r="L150" t="s">
        <v>38</v>
      </c>
    </row>
    <row r="151" spans="1:12" x14ac:dyDescent="0.3">
      <c r="A151" t="s">
        <v>554</v>
      </c>
      <c r="B151" t="s">
        <v>519</v>
      </c>
      <c r="C151" t="s">
        <v>555</v>
      </c>
      <c r="D151" t="s">
        <v>556</v>
      </c>
      <c r="E151" t="s">
        <v>62</v>
      </c>
      <c r="F151">
        <v>666</v>
      </c>
      <c r="G151" t="s">
        <v>79</v>
      </c>
      <c r="H151" t="s">
        <v>18</v>
      </c>
      <c r="I151" t="s">
        <v>28</v>
      </c>
      <c r="J151" t="s">
        <v>46</v>
      </c>
      <c r="K151" t="s">
        <v>57</v>
      </c>
      <c r="L151" t="s">
        <v>38</v>
      </c>
    </row>
    <row r="152" spans="1:12" x14ac:dyDescent="0.3">
      <c r="A152" t="s">
        <v>557</v>
      </c>
      <c r="B152" t="s">
        <v>91</v>
      </c>
      <c r="C152" t="s">
        <v>558</v>
      </c>
      <c r="D152" t="s">
        <v>89</v>
      </c>
      <c r="E152" t="s">
        <v>51</v>
      </c>
      <c r="F152">
        <v>12156</v>
      </c>
      <c r="G152" t="s">
        <v>17</v>
      </c>
      <c r="H152" t="s">
        <v>27</v>
      </c>
      <c r="I152" t="s">
        <v>28</v>
      </c>
      <c r="J152" t="s">
        <v>95</v>
      </c>
      <c r="K152" t="s">
        <v>21</v>
      </c>
      <c r="L152" t="s">
        <v>38</v>
      </c>
    </row>
    <row r="153" spans="1:12" x14ac:dyDescent="0.3">
      <c r="A153" t="s">
        <v>559</v>
      </c>
      <c r="B153" t="s">
        <v>560</v>
      </c>
      <c r="C153" t="s">
        <v>169</v>
      </c>
      <c r="D153" t="s">
        <v>561</v>
      </c>
      <c r="E153" t="s">
        <v>43</v>
      </c>
      <c r="F153">
        <v>1063</v>
      </c>
      <c r="G153" t="s">
        <v>35</v>
      </c>
      <c r="H153" t="s">
        <v>18</v>
      </c>
      <c r="I153" t="s">
        <v>19</v>
      </c>
      <c r="J153" t="s">
        <v>46</v>
      </c>
      <c r="K153" t="s">
        <v>96</v>
      </c>
      <c r="L153" t="s">
        <v>38</v>
      </c>
    </row>
    <row r="154" spans="1:12" x14ac:dyDescent="0.3">
      <c r="A154" t="s">
        <v>562</v>
      </c>
      <c r="B154" t="s">
        <v>563</v>
      </c>
      <c r="C154" t="s">
        <v>564</v>
      </c>
      <c r="D154" t="s">
        <v>50</v>
      </c>
      <c r="E154" t="s">
        <v>16</v>
      </c>
      <c r="F154">
        <v>8636</v>
      </c>
      <c r="G154" t="s">
        <v>17</v>
      </c>
      <c r="H154" t="s">
        <v>45</v>
      </c>
      <c r="I154" t="s">
        <v>28</v>
      </c>
      <c r="J154" t="s">
        <v>20</v>
      </c>
      <c r="K154" t="s">
        <v>57</v>
      </c>
      <c r="L154" t="s">
        <v>38</v>
      </c>
    </row>
    <row r="155" spans="1:12" x14ac:dyDescent="0.3">
      <c r="A155" t="s">
        <v>565</v>
      </c>
      <c r="B155" t="s">
        <v>135</v>
      </c>
      <c r="C155" t="s">
        <v>566</v>
      </c>
      <c r="D155" t="s">
        <v>204</v>
      </c>
      <c r="E155" t="s">
        <v>43</v>
      </c>
      <c r="F155">
        <v>907</v>
      </c>
      <c r="G155" t="s">
        <v>63</v>
      </c>
      <c r="H155" t="s">
        <v>36</v>
      </c>
      <c r="I155" t="s">
        <v>28</v>
      </c>
      <c r="J155" t="s">
        <v>46</v>
      </c>
      <c r="K155" t="s">
        <v>37</v>
      </c>
      <c r="L155" t="s">
        <v>38</v>
      </c>
    </row>
    <row r="156" spans="1:12" x14ac:dyDescent="0.3">
      <c r="A156" t="s">
        <v>567</v>
      </c>
      <c r="B156" t="s">
        <v>131</v>
      </c>
      <c r="C156" t="s">
        <v>568</v>
      </c>
      <c r="D156" t="s">
        <v>42</v>
      </c>
      <c r="E156" t="s">
        <v>62</v>
      </c>
      <c r="F156">
        <v>9924</v>
      </c>
      <c r="G156" t="s">
        <v>63</v>
      </c>
      <c r="H156" t="s">
        <v>113</v>
      </c>
      <c r="I156" t="s">
        <v>28</v>
      </c>
      <c r="J156" t="s">
        <v>20</v>
      </c>
      <c r="K156" t="s">
        <v>37</v>
      </c>
      <c r="L156" t="s">
        <v>38</v>
      </c>
    </row>
    <row r="157" spans="1:12" x14ac:dyDescent="0.3">
      <c r="A157" t="s">
        <v>569</v>
      </c>
      <c r="B157" t="s">
        <v>397</v>
      </c>
      <c r="C157" t="s">
        <v>570</v>
      </c>
      <c r="D157" t="s">
        <v>89</v>
      </c>
      <c r="E157" t="s">
        <v>62</v>
      </c>
      <c r="F157">
        <v>2162</v>
      </c>
      <c r="G157" t="s">
        <v>63</v>
      </c>
      <c r="H157" t="s">
        <v>45</v>
      </c>
      <c r="I157" t="s">
        <v>19</v>
      </c>
      <c r="J157" t="s">
        <v>95</v>
      </c>
      <c r="K157" t="s">
        <v>80</v>
      </c>
      <c r="L157" t="s">
        <v>38</v>
      </c>
    </row>
    <row r="158" spans="1:12" x14ac:dyDescent="0.3">
      <c r="A158" t="s">
        <v>571</v>
      </c>
      <c r="B158" t="s">
        <v>213</v>
      </c>
      <c r="C158" t="s">
        <v>572</v>
      </c>
      <c r="D158" t="s">
        <v>573</v>
      </c>
      <c r="E158" t="s">
        <v>16</v>
      </c>
      <c r="F158">
        <v>1581</v>
      </c>
      <c r="G158" t="s">
        <v>35</v>
      </c>
      <c r="H158" t="s">
        <v>45</v>
      </c>
      <c r="I158" t="s">
        <v>28</v>
      </c>
      <c r="J158" t="s">
        <v>46</v>
      </c>
      <c r="K158" t="s">
        <v>29</v>
      </c>
      <c r="L158" t="s">
        <v>38</v>
      </c>
    </row>
    <row r="159" spans="1:12" x14ac:dyDescent="0.3">
      <c r="A159" t="s">
        <v>574</v>
      </c>
      <c r="B159" t="s">
        <v>389</v>
      </c>
      <c r="C159" t="s">
        <v>575</v>
      </c>
      <c r="D159" t="s">
        <v>84</v>
      </c>
      <c r="E159" t="s">
        <v>78</v>
      </c>
      <c r="F159">
        <v>8017</v>
      </c>
      <c r="G159" t="s">
        <v>68</v>
      </c>
      <c r="H159" t="s">
        <v>18</v>
      </c>
      <c r="I159" t="s">
        <v>28</v>
      </c>
      <c r="J159" t="s">
        <v>20</v>
      </c>
      <c r="K159" t="s">
        <v>69</v>
      </c>
      <c r="L159" t="s">
        <v>38</v>
      </c>
    </row>
    <row r="160" spans="1:12" x14ac:dyDescent="0.3">
      <c r="A160" t="s">
        <v>576</v>
      </c>
      <c r="B160" t="s">
        <v>102</v>
      </c>
      <c r="C160" t="s">
        <v>577</v>
      </c>
      <c r="D160" t="s">
        <v>578</v>
      </c>
      <c r="E160" t="s">
        <v>43</v>
      </c>
      <c r="F160">
        <v>13732</v>
      </c>
      <c r="G160" t="s">
        <v>35</v>
      </c>
      <c r="H160" t="s">
        <v>113</v>
      </c>
      <c r="I160" t="s">
        <v>28</v>
      </c>
      <c r="J160" t="s">
        <v>95</v>
      </c>
      <c r="K160" t="s">
        <v>29</v>
      </c>
      <c r="L160" t="s">
        <v>38</v>
      </c>
    </row>
    <row r="161" spans="1:12" x14ac:dyDescent="0.3">
      <c r="A161" t="s">
        <v>579</v>
      </c>
      <c r="B161" t="s">
        <v>580</v>
      </c>
      <c r="C161" t="s">
        <v>581</v>
      </c>
      <c r="D161" t="s">
        <v>145</v>
      </c>
      <c r="E161" t="s">
        <v>94</v>
      </c>
      <c r="F161">
        <v>12683</v>
      </c>
      <c r="G161" t="s">
        <v>63</v>
      </c>
      <c r="H161" t="s">
        <v>36</v>
      </c>
      <c r="I161" t="s">
        <v>28</v>
      </c>
      <c r="J161" t="s">
        <v>46</v>
      </c>
      <c r="K161" t="s">
        <v>80</v>
      </c>
      <c r="L161" t="s">
        <v>38</v>
      </c>
    </row>
    <row r="162" spans="1:12" x14ac:dyDescent="0.3">
      <c r="A162" t="s">
        <v>582</v>
      </c>
      <c r="B162" t="s">
        <v>478</v>
      </c>
      <c r="C162" t="s">
        <v>583</v>
      </c>
      <c r="D162" t="s">
        <v>584</v>
      </c>
      <c r="E162" t="s">
        <v>34</v>
      </c>
      <c r="F162">
        <v>10053</v>
      </c>
      <c r="G162" t="s">
        <v>35</v>
      </c>
      <c r="H162" t="s">
        <v>85</v>
      </c>
      <c r="I162" t="s">
        <v>19</v>
      </c>
      <c r="J162" t="s">
        <v>95</v>
      </c>
      <c r="K162" t="s">
        <v>21</v>
      </c>
      <c r="L162" t="s">
        <v>38</v>
      </c>
    </row>
    <row r="163" spans="1:12" x14ac:dyDescent="0.3">
      <c r="A163" t="s">
        <v>585</v>
      </c>
      <c r="B163" t="s">
        <v>519</v>
      </c>
      <c r="C163" t="s">
        <v>586</v>
      </c>
      <c r="D163" t="s">
        <v>429</v>
      </c>
      <c r="E163" t="s">
        <v>34</v>
      </c>
      <c r="F163">
        <v>12901</v>
      </c>
      <c r="G163" t="s">
        <v>44</v>
      </c>
      <c r="H163" t="s">
        <v>85</v>
      </c>
      <c r="I163" t="s">
        <v>28</v>
      </c>
      <c r="J163" t="s">
        <v>20</v>
      </c>
      <c r="K163" t="s">
        <v>69</v>
      </c>
      <c r="L163" t="s">
        <v>38</v>
      </c>
    </row>
    <row r="164" spans="1:12" x14ac:dyDescent="0.3">
      <c r="A164" t="s">
        <v>587</v>
      </c>
      <c r="B164" t="s">
        <v>274</v>
      </c>
      <c r="C164" t="s">
        <v>588</v>
      </c>
      <c r="D164" t="s">
        <v>573</v>
      </c>
      <c r="E164" t="s">
        <v>34</v>
      </c>
      <c r="F164">
        <v>6909</v>
      </c>
      <c r="G164" t="s">
        <v>63</v>
      </c>
      <c r="H164" t="s">
        <v>113</v>
      </c>
      <c r="I164" t="s">
        <v>28</v>
      </c>
      <c r="J164" t="s">
        <v>20</v>
      </c>
      <c r="K164" t="s">
        <v>96</v>
      </c>
      <c r="L164" t="s">
        <v>38</v>
      </c>
    </row>
    <row r="165" spans="1:12" x14ac:dyDescent="0.3">
      <c r="A165" t="s">
        <v>589</v>
      </c>
      <c r="B165" t="s">
        <v>300</v>
      </c>
      <c r="C165" t="s">
        <v>590</v>
      </c>
      <c r="D165" t="s">
        <v>232</v>
      </c>
      <c r="E165" t="s">
        <v>94</v>
      </c>
      <c r="F165">
        <v>9135</v>
      </c>
      <c r="G165" t="s">
        <v>35</v>
      </c>
      <c r="H165" t="s">
        <v>18</v>
      </c>
      <c r="I165" t="s">
        <v>28</v>
      </c>
      <c r="J165" t="s">
        <v>95</v>
      </c>
      <c r="K165" t="s">
        <v>96</v>
      </c>
      <c r="L165" t="s">
        <v>38</v>
      </c>
    </row>
    <row r="166" spans="1:12" x14ac:dyDescent="0.3">
      <c r="A166" t="s">
        <v>591</v>
      </c>
      <c r="B166" t="s">
        <v>592</v>
      </c>
      <c r="C166" t="s">
        <v>593</v>
      </c>
      <c r="D166" t="s">
        <v>450</v>
      </c>
      <c r="E166" t="s">
        <v>34</v>
      </c>
      <c r="F166">
        <v>8460</v>
      </c>
      <c r="G166" t="s">
        <v>68</v>
      </c>
      <c r="H166" t="s">
        <v>27</v>
      </c>
      <c r="I166" t="s">
        <v>28</v>
      </c>
      <c r="J166" t="s">
        <v>46</v>
      </c>
      <c r="K166" t="s">
        <v>37</v>
      </c>
      <c r="L166" t="s">
        <v>38</v>
      </c>
    </row>
    <row r="167" spans="1:12" x14ac:dyDescent="0.3">
      <c r="A167" t="s">
        <v>594</v>
      </c>
      <c r="B167" t="s">
        <v>539</v>
      </c>
      <c r="C167" t="s">
        <v>595</v>
      </c>
      <c r="D167" t="s">
        <v>596</v>
      </c>
      <c r="E167" t="s">
        <v>16</v>
      </c>
      <c r="F167">
        <v>85799</v>
      </c>
      <c r="G167" t="s">
        <v>68</v>
      </c>
      <c r="H167" t="s">
        <v>18</v>
      </c>
      <c r="I167" t="s">
        <v>28</v>
      </c>
      <c r="J167" t="s">
        <v>20</v>
      </c>
      <c r="K167" t="s">
        <v>29</v>
      </c>
      <c r="L167" t="s">
        <v>22</v>
      </c>
    </row>
    <row r="168" spans="1:12" x14ac:dyDescent="0.3">
      <c r="A168" t="s">
        <v>597</v>
      </c>
      <c r="B168" t="s">
        <v>598</v>
      </c>
      <c r="C168" t="s">
        <v>249</v>
      </c>
      <c r="D168" t="s">
        <v>528</v>
      </c>
      <c r="E168" t="s">
        <v>34</v>
      </c>
      <c r="F168">
        <v>13799</v>
      </c>
      <c r="G168" t="s">
        <v>17</v>
      </c>
      <c r="H168" t="s">
        <v>105</v>
      </c>
      <c r="I168" t="s">
        <v>28</v>
      </c>
      <c r="J168" t="s">
        <v>20</v>
      </c>
      <c r="K168" t="s">
        <v>69</v>
      </c>
      <c r="L168" t="s">
        <v>38</v>
      </c>
    </row>
    <row r="169" spans="1:12" x14ac:dyDescent="0.3">
      <c r="A169" t="s">
        <v>599</v>
      </c>
      <c r="B169" t="s">
        <v>397</v>
      </c>
      <c r="C169" t="s">
        <v>600</v>
      </c>
      <c r="D169" t="s">
        <v>601</v>
      </c>
      <c r="E169" t="s">
        <v>51</v>
      </c>
      <c r="F169">
        <v>12482</v>
      </c>
      <c r="G169" t="s">
        <v>35</v>
      </c>
      <c r="H169" t="s">
        <v>18</v>
      </c>
      <c r="I169" t="s">
        <v>19</v>
      </c>
      <c r="J169" t="s">
        <v>95</v>
      </c>
      <c r="K169" t="s">
        <v>37</v>
      </c>
      <c r="L169" t="s">
        <v>38</v>
      </c>
    </row>
    <row r="170" spans="1:12" x14ac:dyDescent="0.3">
      <c r="A170" t="s">
        <v>602</v>
      </c>
      <c r="B170" t="s">
        <v>603</v>
      </c>
      <c r="C170" t="s">
        <v>604</v>
      </c>
      <c r="D170" t="s">
        <v>476</v>
      </c>
      <c r="E170" t="s">
        <v>51</v>
      </c>
      <c r="F170">
        <v>11965</v>
      </c>
      <c r="G170" t="s">
        <v>68</v>
      </c>
      <c r="H170" t="s">
        <v>52</v>
      </c>
      <c r="I170" t="s">
        <v>19</v>
      </c>
      <c r="J170" t="s">
        <v>20</v>
      </c>
      <c r="K170" t="s">
        <v>37</v>
      </c>
      <c r="L170" t="s">
        <v>38</v>
      </c>
    </row>
    <row r="171" spans="1:12" x14ac:dyDescent="0.3">
      <c r="A171" t="s">
        <v>605</v>
      </c>
      <c r="B171" t="s">
        <v>606</v>
      </c>
      <c r="C171" t="s">
        <v>607</v>
      </c>
      <c r="D171" t="s">
        <v>342</v>
      </c>
      <c r="E171" t="s">
        <v>43</v>
      </c>
      <c r="F171">
        <v>10518</v>
      </c>
      <c r="G171" t="s">
        <v>79</v>
      </c>
      <c r="H171" t="s">
        <v>85</v>
      </c>
      <c r="I171" t="s">
        <v>19</v>
      </c>
      <c r="J171" t="s">
        <v>20</v>
      </c>
      <c r="K171" t="s">
        <v>80</v>
      </c>
      <c r="L171" t="s">
        <v>38</v>
      </c>
    </row>
    <row r="172" spans="1:12" x14ac:dyDescent="0.3">
      <c r="A172" t="s">
        <v>608</v>
      </c>
      <c r="B172" t="s">
        <v>609</v>
      </c>
      <c r="C172" t="s">
        <v>610</v>
      </c>
      <c r="D172" t="s">
        <v>158</v>
      </c>
      <c r="E172" t="s">
        <v>51</v>
      </c>
      <c r="F172">
        <v>2402</v>
      </c>
      <c r="G172" t="s">
        <v>17</v>
      </c>
      <c r="H172" t="s">
        <v>45</v>
      </c>
      <c r="I172" t="s">
        <v>19</v>
      </c>
      <c r="J172" t="s">
        <v>20</v>
      </c>
      <c r="K172" t="s">
        <v>21</v>
      </c>
      <c r="L172" t="s">
        <v>38</v>
      </c>
    </row>
    <row r="173" spans="1:12" x14ac:dyDescent="0.3">
      <c r="A173" t="s">
        <v>611</v>
      </c>
      <c r="B173" t="s">
        <v>612</v>
      </c>
      <c r="C173" t="s">
        <v>613</v>
      </c>
      <c r="D173" t="s">
        <v>614</v>
      </c>
      <c r="E173" t="s">
        <v>62</v>
      </c>
      <c r="F173">
        <v>1452</v>
      </c>
      <c r="G173" t="s">
        <v>17</v>
      </c>
      <c r="H173" t="s">
        <v>105</v>
      </c>
      <c r="I173" t="s">
        <v>28</v>
      </c>
      <c r="J173" t="s">
        <v>20</v>
      </c>
      <c r="K173" t="s">
        <v>69</v>
      </c>
      <c r="L173" t="s">
        <v>38</v>
      </c>
    </row>
    <row r="174" spans="1:12" x14ac:dyDescent="0.3">
      <c r="A174" t="s">
        <v>615</v>
      </c>
      <c r="B174" t="s">
        <v>48</v>
      </c>
      <c r="C174" t="s">
        <v>616</v>
      </c>
      <c r="D174" t="s">
        <v>617</v>
      </c>
      <c r="E174" t="s">
        <v>94</v>
      </c>
      <c r="F174">
        <v>6166</v>
      </c>
      <c r="G174" t="s">
        <v>63</v>
      </c>
      <c r="H174" t="s">
        <v>18</v>
      </c>
      <c r="I174" t="s">
        <v>28</v>
      </c>
      <c r="J174" t="s">
        <v>20</v>
      </c>
      <c r="K174" t="s">
        <v>29</v>
      </c>
      <c r="L174" t="s">
        <v>38</v>
      </c>
    </row>
    <row r="175" spans="1:12" x14ac:dyDescent="0.3">
      <c r="A175" t="s">
        <v>618</v>
      </c>
      <c r="B175" t="s">
        <v>131</v>
      </c>
      <c r="C175" t="s">
        <v>619</v>
      </c>
      <c r="D175" t="s">
        <v>235</v>
      </c>
      <c r="E175" t="s">
        <v>78</v>
      </c>
      <c r="F175">
        <v>12690</v>
      </c>
      <c r="G175" t="s">
        <v>63</v>
      </c>
      <c r="H175" t="s">
        <v>45</v>
      </c>
      <c r="I175" t="s">
        <v>19</v>
      </c>
      <c r="J175" t="s">
        <v>20</v>
      </c>
      <c r="K175" t="s">
        <v>69</v>
      </c>
      <c r="L175" t="s">
        <v>38</v>
      </c>
    </row>
    <row r="176" spans="1:12" x14ac:dyDescent="0.3">
      <c r="A176" t="s">
        <v>620</v>
      </c>
      <c r="B176" t="s">
        <v>303</v>
      </c>
      <c r="C176" t="s">
        <v>621</v>
      </c>
      <c r="D176" t="s">
        <v>622</v>
      </c>
      <c r="E176" t="s">
        <v>34</v>
      </c>
      <c r="F176">
        <v>7890</v>
      </c>
      <c r="G176" t="s">
        <v>35</v>
      </c>
      <c r="H176" t="s">
        <v>85</v>
      </c>
      <c r="I176" t="s">
        <v>19</v>
      </c>
      <c r="J176" t="s">
        <v>20</v>
      </c>
      <c r="K176" t="s">
        <v>37</v>
      </c>
      <c r="L176" t="s">
        <v>38</v>
      </c>
    </row>
    <row r="177" spans="1:12" x14ac:dyDescent="0.3">
      <c r="A177" t="s">
        <v>623</v>
      </c>
      <c r="B177" t="s">
        <v>48</v>
      </c>
      <c r="C177" t="s">
        <v>624</v>
      </c>
      <c r="D177" t="s">
        <v>488</v>
      </c>
      <c r="E177" t="s">
        <v>62</v>
      </c>
      <c r="F177">
        <v>14562</v>
      </c>
      <c r="G177" t="s">
        <v>68</v>
      </c>
      <c r="H177" t="s">
        <v>36</v>
      </c>
      <c r="I177" t="s">
        <v>28</v>
      </c>
      <c r="J177" t="s">
        <v>46</v>
      </c>
      <c r="K177" t="s">
        <v>37</v>
      </c>
      <c r="L177" t="s">
        <v>38</v>
      </c>
    </row>
    <row r="178" spans="1:12" x14ac:dyDescent="0.3">
      <c r="A178" t="s">
        <v>625</v>
      </c>
      <c r="B178" t="s">
        <v>626</v>
      </c>
      <c r="C178" t="s">
        <v>627</v>
      </c>
      <c r="D178" t="s">
        <v>628</v>
      </c>
      <c r="E178" t="s">
        <v>34</v>
      </c>
      <c r="F178">
        <v>5898</v>
      </c>
      <c r="G178" t="s">
        <v>44</v>
      </c>
      <c r="H178" t="s">
        <v>52</v>
      </c>
      <c r="I178" t="s">
        <v>19</v>
      </c>
      <c r="J178" t="s">
        <v>95</v>
      </c>
      <c r="K178" t="s">
        <v>69</v>
      </c>
      <c r="L178" t="s">
        <v>38</v>
      </c>
    </row>
    <row r="179" spans="1:12" x14ac:dyDescent="0.3">
      <c r="A179" t="s">
        <v>629</v>
      </c>
      <c r="B179" t="s">
        <v>98</v>
      </c>
      <c r="C179" t="s">
        <v>630</v>
      </c>
      <c r="D179" t="s">
        <v>631</v>
      </c>
      <c r="E179" t="s">
        <v>51</v>
      </c>
      <c r="F179">
        <v>12228</v>
      </c>
      <c r="G179" t="s">
        <v>79</v>
      </c>
      <c r="H179" t="s">
        <v>85</v>
      </c>
      <c r="I179" t="s">
        <v>28</v>
      </c>
      <c r="J179" t="s">
        <v>46</v>
      </c>
      <c r="K179" t="s">
        <v>37</v>
      </c>
      <c r="L179" t="s">
        <v>38</v>
      </c>
    </row>
    <row r="180" spans="1:12" x14ac:dyDescent="0.3">
      <c r="A180" t="s">
        <v>632</v>
      </c>
      <c r="B180" t="s">
        <v>633</v>
      </c>
      <c r="C180" t="s">
        <v>634</v>
      </c>
      <c r="D180" t="s">
        <v>635</v>
      </c>
      <c r="E180" t="s">
        <v>43</v>
      </c>
      <c r="F180">
        <v>11962</v>
      </c>
      <c r="G180" t="s">
        <v>68</v>
      </c>
      <c r="H180" t="s">
        <v>113</v>
      </c>
      <c r="I180" t="s">
        <v>28</v>
      </c>
      <c r="J180" t="s">
        <v>46</v>
      </c>
      <c r="K180" t="s">
        <v>37</v>
      </c>
      <c r="L180" t="s">
        <v>38</v>
      </c>
    </row>
    <row r="181" spans="1:12" x14ac:dyDescent="0.3">
      <c r="A181" t="s">
        <v>636</v>
      </c>
      <c r="B181" t="s">
        <v>420</v>
      </c>
      <c r="C181" t="s">
        <v>637</v>
      </c>
      <c r="D181" t="s">
        <v>638</v>
      </c>
      <c r="E181" t="s">
        <v>51</v>
      </c>
      <c r="F181">
        <v>4893</v>
      </c>
      <c r="G181" t="s">
        <v>17</v>
      </c>
      <c r="H181" t="s">
        <v>36</v>
      </c>
      <c r="I181" t="s">
        <v>19</v>
      </c>
      <c r="J181" t="s">
        <v>95</v>
      </c>
      <c r="K181" t="s">
        <v>80</v>
      </c>
      <c r="L181" t="s">
        <v>38</v>
      </c>
    </row>
    <row r="182" spans="1:12" x14ac:dyDescent="0.3">
      <c r="A182" t="s">
        <v>639</v>
      </c>
      <c r="B182" t="s">
        <v>366</v>
      </c>
      <c r="C182" t="s">
        <v>466</v>
      </c>
      <c r="D182" t="s">
        <v>215</v>
      </c>
      <c r="E182" t="s">
        <v>16</v>
      </c>
      <c r="F182">
        <v>11958</v>
      </c>
      <c r="G182" t="s">
        <v>63</v>
      </c>
      <c r="H182" t="s">
        <v>105</v>
      </c>
      <c r="I182" t="s">
        <v>19</v>
      </c>
      <c r="J182" t="s">
        <v>46</v>
      </c>
      <c r="K182" t="s">
        <v>80</v>
      </c>
      <c r="L182" t="s">
        <v>38</v>
      </c>
    </row>
    <row r="183" spans="1:12" x14ac:dyDescent="0.3">
      <c r="A183" t="s">
        <v>640</v>
      </c>
      <c r="B183" t="s">
        <v>641</v>
      </c>
      <c r="C183" t="s">
        <v>642</v>
      </c>
      <c r="D183" t="s">
        <v>643</v>
      </c>
      <c r="E183" t="s">
        <v>43</v>
      </c>
      <c r="F183">
        <v>13175</v>
      </c>
      <c r="G183" t="s">
        <v>68</v>
      </c>
      <c r="H183" t="s">
        <v>85</v>
      </c>
      <c r="I183" t="s">
        <v>19</v>
      </c>
      <c r="J183" t="s">
        <v>20</v>
      </c>
      <c r="K183" t="s">
        <v>29</v>
      </c>
      <c r="L183" t="s">
        <v>38</v>
      </c>
    </row>
    <row r="184" spans="1:12" x14ac:dyDescent="0.3">
      <c r="A184" t="s">
        <v>644</v>
      </c>
      <c r="B184" t="s">
        <v>478</v>
      </c>
      <c r="C184" t="s">
        <v>645</v>
      </c>
      <c r="D184" t="s">
        <v>378</v>
      </c>
      <c r="E184" t="s">
        <v>51</v>
      </c>
      <c r="F184">
        <v>6051</v>
      </c>
      <c r="G184" t="s">
        <v>44</v>
      </c>
      <c r="H184" t="s">
        <v>113</v>
      </c>
      <c r="I184" t="s">
        <v>28</v>
      </c>
      <c r="J184" t="s">
        <v>95</v>
      </c>
      <c r="K184" t="s">
        <v>37</v>
      </c>
      <c r="L184" t="s">
        <v>38</v>
      </c>
    </row>
    <row r="185" spans="1:12" x14ac:dyDescent="0.3">
      <c r="A185" t="s">
        <v>646</v>
      </c>
      <c r="B185" t="s">
        <v>184</v>
      </c>
      <c r="C185" t="s">
        <v>647</v>
      </c>
      <c r="D185" t="s">
        <v>437</v>
      </c>
      <c r="E185" t="s">
        <v>16</v>
      </c>
      <c r="F185">
        <v>9453</v>
      </c>
      <c r="G185" t="s">
        <v>68</v>
      </c>
      <c r="H185" t="s">
        <v>45</v>
      </c>
      <c r="I185" t="s">
        <v>28</v>
      </c>
      <c r="J185" t="s">
        <v>46</v>
      </c>
      <c r="K185" t="s">
        <v>29</v>
      </c>
      <c r="L185" t="s">
        <v>38</v>
      </c>
    </row>
    <row r="186" spans="1:12" x14ac:dyDescent="0.3">
      <c r="A186" t="s">
        <v>648</v>
      </c>
      <c r="B186" t="s">
        <v>649</v>
      </c>
      <c r="C186" t="s">
        <v>650</v>
      </c>
      <c r="D186" t="s">
        <v>651</v>
      </c>
      <c r="E186" t="s">
        <v>51</v>
      </c>
      <c r="F186">
        <v>8226</v>
      </c>
      <c r="G186" t="s">
        <v>17</v>
      </c>
      <c r="H186" t="s">
        <v>52</v>
      </c>
      <c r="I186" t="s">
        <v>28</v>
      </c>
      <c r="J186" t="s">
        <v>95</v>
      </c>
      <c r="K186" t="s">
        <v>80</v>
      </c>
      <c r="L186" t="s">
        <v>38</v>
      </c>
    </row>
    <row r="187" spans="1:12" x14ac:dyDescent="0.3">
      <c r="A187" t="s">
        <v>652</v>
      </c>
      <c r="B187" t="s">
        <v>127</v>
      </c>
      <c r="C187" t="s">
        <v>653</v>
      </c>
      <c r="D187" t="s">
        <v>654</v>
      </c>
      <c r="E187" t="s">
        <v>78</v>
      </c>
      <c r="F187">
        <v>4728</v>
      </c>
      <c r="G187" t="s">
        <v>63</v>
      </c>
      <c r="H187" t="s">
        <v>18</v>
      </c>
      <c r="I187" t="s">
        <v>28</v>
      </c>
      <c r="J187" t="s">
        <v>20</v>
      </c>
      <c r="K187" t="s">
        <v>29</v>
      </c>
      <c r="L187" t="s">
        <v>38</v>
      </c>
    </row>
    <row r="188" spans="1:12" x14ac:dyDescent="0.3">
      <c r="A188" t="s">
        <v>655</v>
      </c>
      <c r="B188" t="s">
        <v>184</v>
      </c>
      <c r="C188" t="s">
        <v>656</v>
      </c>
      <c r="D188" t="s">
        <v>481</v>
      </c>
      <c r="E188" t="s">
        <v>94</v>
      </c>
      <c r="F188">
        <v>13329</v>
      </c>
      <c r="G188" t="s">
        <v>35</v>
      </c>
      <c r="H188" t="s">
        <v>18</v>
      </c>
      <c r="I188" t="s">
        <v>28</v>
      </c>
      <c r="J188" t="s">
        <v>46</v>
      </c>
      <c r="K188" t="s">
        <v>37</v>
      </c>
      <c r="L188" t="s">
        <v>38</v>
      </c>
    </row>
    <row r="189" spans="1:12" x14ac:dyDescent="0.3">
      <c r="A189" t="s">
        <v>657</v>
      </c>
      <c r="B189" t="s">
        <v>356</v>
      </c>
      <c r="C189" t="s">
        <v>658</v>
      </c>
      <c r="D189" t="s">
        <v>149</v>
      </c>
      <c r="E189" t="s">
        <v>16</v>
      </c>
      <c r="F189">
        <v>13053</v>
      </c>
      <c r="G189" t="s">
        <v>17</v>
      </c>
      <c r="H189" t="s">
        <v>27</v>
      </c>
      <c r="I189" t="s">
        <v>19</v>
      </c>
      <c r="J189" t="s">
        <v>20</v>
      </c>
      <c r="K189" t="s">
        <v>29</v>
      </c>
      <c r="L189" t="s">
        <v>38</v>
      </c>
    </row>
    <row r="190" spans="1:12" x14ac:dyDescent="0.3">
      <c r="A190" t="s">
        <v>659</v>
      </c>
      <c r="B190" t="s">
        <v>649</v>
      </c>
      <c r="C190" t="s">
        <v>660</v>
      </c>
      <c r="D190" t="s">
        <v>661</v>
      </c>
      <c r="E190" t="s">
        <v>51</v>
      </c>
      <c r="F190">
        <v>9426</v>
      </c>
      <c r="G190" t="s">
        <v>17</v>
      </c>
      <c r="H190" t="s">
        <v>18</v>
      </c>
      <c r="I190" t="s">
        <v>19</v>
      </c>
      <c r="J190" t="s">
        <v>95</v>
      </c>
      <c r="K190" t="s">
        <v>37</v>
      </c>
      <c r="L190" t="s">
        <v>38</v>
      </c>
    </row>
    <row r="191" spans="1:12" x14ac:dyDescent="0.3">
      <c r="A191" t="s">
        <v>662</v>
      </c>
      <c r="B191" t="s">
        <v>333</v>
      </c>
      <c r="C191" t="s">
        <v>663</v>
      </c>
      <c r="D191" t="s">
        <v>614</v>
      </c>
      <c r="E191" t="s">
        <v>34</v>
      </c>
      <c r="F191">
        <v>12651</v>
      </c>
      <c r="G191" t="s">
        <v>68</v>
      </c>
      <c r="H191" t="s">
        <v>113</v>
      </c>
      <c r="I191" t="s">
        <v>28</v>
      </c>
      <c r="J191" t="s">
        <v>95</v>
      </c>
      <c r="K191" t="s">
        <v>80</v>
      </c>
      <c r="L191" t="s">
        <v>38</v>
      </c>
    </row>
    <row r="192" spans="1:12" x14ac:dyDescent="0.3">
      <c r="A192" t="s">
        <v>664</v>
      </c>
      <c r="B192" t="s">
        <v>665</v>
      </c>
      <c r="C192" t="s">
        <v>666</v>
      </c>
      <c r="D192" t="s">
        <v>667</v>
      </c>
      <c r="E192" t="s">
        <v>78</v>
      </c>
      <c r="F192">
        <v>8526</v>
      </c>
      <c r="G192" t="s">
        <v>79</v>
      </c>
      <c r="H192" t="s">
        <v>113</v>
      </c>
      <c r="I192" t="s">
        <v>19</v>
      </c>
      <c r="J192" t="s">
        <v>95</v>
      </c>
      <c r="K192" t="s">
        <v>57</v>
      </c>
      <c r="L192" t="s">
        <v>38</v>
      </c>
    </row>
    <row r="193" spans="1:12" x14ac:dyDescent="0.3">
      <c r="A193" t="s">
        <v>668</v>
      </c>
      <c r="B193" t="s">
        <v>416</v>
      </c>
      <c r="C193" t="s">
        <v>669</v>
      </c>
      <c r="D193" t="s">
        <v>129</v>
      </c>
      <c r="E193" t="s">
        <v>62</v>
      </c>
      <c r="F193">
        <v>8538</v>
      </c>
      <c r="G193" t="s">
        <v>79</v>
      </c>
      <c r="H193" t="s">
        <v>45</v>
      </c>
      <c r="I193" t="s">
        <v>19</v>
      </c>
      <c r="J193" t="s">
        <v>20</v>
      </c>
      <c r="K193" t="s">
        <v>37</v>
      </c>
      <c r="L193" t="s">
        <v>38</v>
      </c>
    </row>
    <row r="194" spans="1:12" x14ac:dyDescent="0.3">
      <c r="A194" t="s">
        <v>670</v>
      </c>
      <c r="B194" t="s">
        <v>526</v>
      </c>
      <c r="C194" t="s">
        <v>671</v>
      </c>
      <c r="D194" t="s">
        <v>192</v>
      </c>
      <c r="E194" t="s">
        <v>94</v>
      </c>
      <c r="F194">
        <v>4155</v>
      </c>
      <c r="G194" t="s">
        <v>79</v>
      </c>
      <c r="H194" t="s">
        <v>113</v>
      </c>
      <c r="I194" t="s">
        <v>28</v>
      </c>
      <c r="J194" t="s">
        <v>95</v>
      </c>
      <c r="K194" t="s">
        <v>21</v>
      </c>
      <c r="L194" t="s">
        <v>38</v>
      </c>
    </row>
    <row r="195" spans="1:12" x14ac:dyDescent="0.3">
      <c r="A195" t="s">
        <v>672</v>
      </c>
      <c r="B195" t="s">
        <v>180</v>
      </c>
      <c r="C195" t="s">
        <v>673</v>
      </c>
      <c r="D195" t="s">
        <v>368</v>
      </c>
      <c r="E195" t="s">
        <v>78</v>
      </c>
      <c r="F195">
        <v>2812</v>
      </c>
      <c r="G195" t="s">
        <v>68</v>
      </c>
      <c r="H195" t="s">
        <v>45</v>
      </c>
      <c r="I195" t="s">
        <v>19</v>
      </c>
      <c r="J195" t="s">
        <v>95</v>
      </c>
      <c r="K195" t="s">
        <v>69</v>
      </c>
      <c r="L195" t="s">
        <v>38</v>
      </c>
    </row>
    <row r="196" spans="1:12" x14ac:dyDescent="0.3">
      <c r="A196" t="s">
        <v>674</v>
      </c>
      <c r="B196" t="s">
        <v>420</v>
      </c>
      <c r="C196" t="s">
        <v>675</v>
      </c>
      <c r="D196" t="s">
        <v>676</v>
      </c>
      <c r="E196" t="s">
        <v>16</v>
      </c>
      <c r="F196">
        <v>54688</v>
      </c>
      <c r="G196" t="s">
        <v>79</v>
      </c>
      <c r="H196" t="s">
        <v>105</v>
      </c>
      <c r="I196" t="s">
        <v>28</v>
      </c>
      <c r="J196" t="s">
        <v>46</v>
      </c>
      <c r="K196" t="s">
        <v>80</v>
      </c>
      <c r="L196" t="s">
        <v>22</v>
      </c>
    </row>
    <row r="197" spans="1:12" x14ac:dyDescent="0.3">
      <c r="A197" t="s">
        <v>677</v>
      </c>
      <c r="B197" t="s">
        <v>678</v>
      </c>
      <c r="C197" t="s">
        <v>679</v>
      </c>
      <c r="D197" t="s">
        <v>121</v>
      </c>
      <c r="E197" t="s">
        <v>78</v>
      </c>
      <c r="F197">
        <v>4999</v>
      </c>
      <c r="G197" t="s">
        <v>63</v>
      </c>
      <c r="H197" t="s">
        <v>52</v>
      </c>
      <c r="I197" t="s">
        <v>28</v>
      </c>
      <c r="J197" t="s">
        <v>95</v>
      </c>
      <c r="K197" t="s">
        <v>96</v>
      </c>
      <c r="L197" t="s">
        <v>38</v>
      </c>
    </row>
    <row r="198" spans="1:12" x14ac:dyDescent="0.3">
      <c r="A198" t="s">
        <v>680</v>
      </c>
      <c r="B198" t="s">
        <v>681</v>
      </c>
      <c r="C198" t="s">
        <v>682</v>
      </c>
      <c r="D198" t="s">
        <v>378</v>
      </c>
      <c r="E198" t="s">
        <v>51</v>
      </c>
      <c r="F198">
        <v>6859</v>
      </c>
      <c r="G198" t="s">
        <v>63</v>
      </c>
      <c r="H198" t="s">
        <v>113</v>
      </c>
      <c r="I198" t="s">
        <v>28</v>
      </c>
      <c r="J198" t="s">
        <v>20</v>
      </c>
      <c r="K198" t="s">
        <v>69</v>
      </c>
      <c r="L198" t="s">
        <v>38</v>
      </c>
    </row>
    <row r="199" spans="1:12" x14ac:dyDescent="0.3">
      <c r="A199" t="s">
        <v>683</v>
      </c>
      <c r="B199" t="s">
        <v>598</v>
      </c>
      <c r="C199" t="s">
        <v>684</v>
      </c>
      <c r="D199" t="s">
        <v>596</v>
      </c>
      <c r="E199" t="s">
        <v>51</v>
      </c>
      <c r="F199">
        <v>14152</v>
      </c>
      <c r="G199" t="s">
        <v>35</v>
      </c>
      <c r="H199" t="s">
        <v>45</v>
      </c>
      <c r="I199" t="s">
        <v>19</v>
      </c>
      <c r="J199" t="s">
        <v>20</v>
      </c>
      <c r="K199" t="s">
        <v>37</v>
      </c>
      <c r="L199" t="s">
        <v>38</v>
      </c>
    </row>
    <row r="200" spans="1:12" x14ac:dyDescent="0.3">
      <c r="A200" t="s">
        <v>685</v>
      </c>
      <c r="B200" t="s">
        <v>686</v>
      </c>
      <c r="C200" t="s">
        <v>687</v>
      </c>
      <c r="D200" t="s">
        <v>149</v>
      </c>
      <c r="E200" t="s">
        <v>16</v>
      </c>
      <c r="F200">
        <v>78929</v>
      </c>
      <c r="G200" t="s">
        <v>79</v>
      </c>
      <c r="H200" t="s">
        <v>105</v>
      </c>
      <c r="I200" t="s">
        <v>28</v>
      </c>
      <c r="J200" t="s">
        <v>20</v>
      </c>
      <c r="K200" t="s">
        <v>57</v>
      </c>
      <c r="L200" t="s">
        <v>22</v>
      </c>
    </row>
    <row r="201" spans="1:12" x14ac:dyDescent="0.3">
      <c r="A201" t="s">
        <v>688</v>
      </c>
      <c r="B201" t="s">
        <v>256</v>
      </c>
      <c r="C201" t="s">
        <v>689</v>
      </c>
      <c r="D201" t="s">
        <v>690</v>
      </c>
      <c r="E201" t="s">
        <v>34</v>
      </c>
      <c r="F201">
        <v>14227</v>
      </c>
      <c r="G201" t="s">
        <v>35</v>
      </c>
      <c r="H201" t="s">
        <v>45</v>
      </c>
      <c r="I201" t="s">
        <v>19</v>
      </c>
      <c r="J201" t="s">
        <v>46</v>
      </c>
      <c r="K201" t="s">
        <v>69</v>
      </c>
      <c r="L201" t="s">
        <v>38</v>
      </c>
    </row>
    <row r="202" spans="1:12" x14ac:dyDescent="0.3">
      <c r="A202" t="s">
        <v>691</v>
      </c>
      <c r="B202" t="s">
        <v>75</v>
      </c>
      <c r="C202" t="s">
        <v>692</v>
      </c>
      <c r="D202" t="s">
        <v>693</v>
      </c>
      <c r="E202" t="s">
        <v>62</v>
      </c>
      <c r="F202">
        <v>7698</v>
      </c>
      <c r="G202" t="s">
        <v>17</v>
      </c>
      <c r="H202" t="s">
        <v>18</v>
      </c>
      <c r="I202" t="s">
        <v>28</v>
      </c>
      <c r="J202" t="s">
        <v>46</v>
      </c>
      <c r="K202" t="s">
        <v>21</v>
      </c>
      <c r="L202" t="s">
        <v>38</v>
      </c>
    </row>
    <row r="203" spans="1:12" x14ac:dyDescent="0.3">
      <c r="A203" t="s">
        <v>694</v>
      </c>
      <c r="B203" t="s">
        <v>695</v>
      </c>
      <c r="C203" t="s">
        <v>696</v>
      </c>
      <c r="D203" t="s">
        <v>272</v>
      </c>
      <c r="E203" t="s">
        <v>43</v>
      </c>
      <c r="F203">
        <v>5831</v>
      </c>
      <c r="G203" t="s">
        <v>68</v>
      </c>
      <c r="H203" t="s">
        <v>85</v>
      </c>
      <c r="I203" t="s">
        <v>28</v>
      </c>
      <c r="J203" t="s">
        <v>46</v>
      </c>
      <c r="K203" t="s">
        <v>21</v>
      </c>
      <c r="L203" t="s">
        <v>38</v>
      </c>
    </row>
    <row r="204" spans="1:12" x14ac:dyDescent="0.3">
      <c r="A204" t="s">
        <v>697</v>
      </c>
      <c r="B204" t="s">
        <v>542</v>
      </c>
      <c r="C204" t="s">
        <v>698</v>
      </c>
      <c r="D204" t="s">
        <v>699</v>
      </c>
      <c r="E204" t="s">
        <v>94</v>
      </c>
      <c r="F204">
        <v>14508</v>
      </c>
      <c r="G204" t="s">
        <v>17</v>
      </c>
      <c r="H204" t="s">
        <v>36</v>
      </c>
      <c r="I204" t="s">
        <v>28</v>
      </c>
      <c r="J204" t="s">
        <v>46</v>
      </c>
      <c r="K204" t="s">
        <v>96</v>
      </c>
      <c r="L204" t="s">
        <v>38</v>
      </c>
    </row>
    <row r="205" spans="1:12" x14ac:dyDescent="0.3">
      <c r="A205" t="s">
        <v>700</v>
      </c>
      <c r="B205" t="s">
        <v>377</v>
      </c>
      <c r="C205" t="s">
        <v>701</v>
      </c>
      <c r="D205" t="s">
        <v>702</v>
      </c>
      <c r="E205" t="s">
        <v>16</v>
      </c>
      <c r="F205">
        <v>3239</v>
      </c>
      <c r="G205" t="s">
        <v>79</v>
      </c>
      <c r="H205" t="s">
        <v>36</v>
      </c>
      <c r="I205" t="s">
        <v>28</v>
      </c>
      <c r="J205" t="s">
        <v>46</v>
      </c>
      <c r="K205" t="s">
        <v>69</v>
      </c>
      <c r="L205" t="s">
        <v>38</v>
      </c>
    </row>
    <row r="206" spans="1:12" x14ac:dyDescent="0.3">
      <c r="A206" t="s">
        <v>703</v>
      </c>
      <c r="B206" t="s">
        <v>139</v>
      </c>
      <c r="C206" t="s">
        <v>704</v>
      </c>
      <c r="D206" t="s">
        <v>705</v>
      </c>
      <c r="E206" t="s">
        <v>78</v>
      </c>
      <c r="F206">
        <v>10261</v>
      </c>
      <c r="G206" t="s">
        <v>44</v>
      </c>
      <c r="H206" t="s">
        <v>45</v>
      </c>
      <c r="I206" t="s">
        <v>28</v>
      </c>
      <c r="J206" t="s">
        <v>20</v>
      </c>
      <c r="K206" t="s">
        <v>21</v>
      </c>
      <c r="L206" t="s">
        <v>38</v>
      </c>
    </row>
    <row r="207" spans="1:12" x14ac:dyDescent="0.3">
      <c r="A207" t="s">
        <v>706</v>
      </c>
      <c r="B207" t="s">
        <v>707</v>
      </c>
      <c r="C207" t="s">
        <v>708</v>
      </c>
      <c r="D207" t="s">
        <v>284</v>
      </c>
      <c r="E207" t="s">
        <v>16</v>
      </c>
      <c r="F207">
        <v>8391</v>
      </c>
      <c r="G207" t="s">
        <v>44</v>
      </c>
      <c r="H207" t="s">
        <v>105</v>
      </c>
      <c r="I207" t="s">
        <v>19</v>
      </c>
      <c r="J207" t="s">
        <v>20</v>
      </c>
      <c r="K207" t="s">
        <v>80</v>
      </c>
      <c r="L207" t="s">
        <v>38</v>
      </c>
    </row>
    <row r="208" spans="1:12" x14ac:dyDescent="0.3">
      <c r="A208" t="s">
        <v>709</v>
      </c>
      <c r="B208" t="s">
        <v>282</v>
      </c>
      <c r="C208" t="s">
        <v>710</v>
      </c>
      <c r="D208" t="s">
        <v>318</v>
      </c>
      <c r="E208" t="s">
        <v>78</v>
      </c>
      <c r="F208">
        <v>2490</v>
      </c>
      <c r="G208" t="s">
        <v>79</v>
      </c>
      <c r="H208" t="s">
        <v>45</v>
      </c>
      <c r="I208" t="s">
        <v>19</v>
      </c>
      <c r="J208" t="s">
        <v>46</v>
      </c>
      <c r="K208" t="s">
        <v>57</v>
      </c>
      <c r="L208" t="s">
        <v>38</v>
      </c>
    </row>
    <row r="209" spans="1:12" x14ac:dyDescent="0.3">
      <c r="A209" t="s">
        <v>711</v>
      </c>
      <c r="B209" t="s">
        <v>172</v>
      </c>
      <c r="C209" t="s">
        <v>712</v>
      </c>
      <c r="D209" t="s">
        <v>457</v>
      </c>
      <c r="E209" t="s">
        <v>16</v>
      </c>
      <c r="F209">
        <v>8361</v>
      </c>
      <c r="G209" t="s">
        <v>68</v>
      </c>
      <c r="H209" t="s">
        <v>52</v>
      </c>
      <c r="I209" t="s">
        <v>28</v>
      </c>
      <c r="J209" t="s">
        <v>46</v>
      </c>
      <c r="K209" t="s">
        <v>69</v>
      </c>
      <c r="L209" t="s">
        <v>38</v>
      </c>
    </row>
    <row r="210" spans="1:12" x14ac:dyDescent="0.3">
      <c r="A210" t="s">
        <v>713</v>
      </c>
      <c r="B210" t="s">
        <v>714</v>
      </c>
      <c r="C210" t="s">
        <v>715</v>
      </c>
      <c r="D210" t="s">
        <v>716</v>
      </c>
      <c r="E210" t="s">
        <v>16</v>
      </c>
      <c r="F210">
        <v>1845</v>
      </c>
      <c r="G210" t="s">
        <v>63</v>
      </c>
      <c r="H210" t="s">
        <v>105</v>
      </c>
      <c r="I210" t="s">
        <v>28</v>
      </c>
      <c r="J210" t="s">
        <v>46</v>
      </c>
      <c r="K210" t="s">
        <v>37</v>
      </c>
      <c r="L210" t="s">
        <v>38</v>
      </c>
    </row>
    <row r="211" spans="1:12" x14ac:dyDescent="0.3">
      <c r="A211" t="s">
        <v>717</v>
      </c>
      <c r="B211" t="s">
        <v>718</v>
      </c>
      <c r="C211" t="s">
        <v>719</v>
      </c>
      <c r="D211" t="s">
        <v>218</v>
      </c>
      <c r="E211" t="s">
        <v>16</v>
      </c>
      <c r="F211">
        <v>11869</v>
      </c>
      <c r="G211" t="s">
        <v>63</v>
      </c>
      <c r="H211" t="s">
        <v>36</v>
      </c>
      <c r="I211" t="s">
        <v>19</v>
      </c>
      <c r="J211" t="s">
        <v>46</v>
      </c>
      <c r="K211" t="s">
        <v>69</v>
      </c>
      <c r="L211" t="s">
        <v>38</v>
      </c>
    </row>
    <row r="212" spans="1:12" x14ac:dyDescent="0.3">
      <c r="A212" t="s">
        <v>720</v>
      </c>
      <c r="B212" t="s">
        <v>168</v>
      </c>
      <c r="C212" t="s">
        <v>721</v>
      </c>
      <c r="D212" t="s">
        <v>722</v>
      </c>
      <c r="E212" t="s">
        <v>16</v>
      </c>
      <c r="F212">
        <v>34404</v>
      </c>
      <c r="G212" t="s">
        <v>17</v>
      </c>
      <c r="H212" t="s">
        <v>45</v>
      </c>
      <c r="I212" t="s">
        <v>28</v>
      </c>
      <c r="J212" t="s">
        <v>20</v>
      </c>
      <c r="K212" t="s">
        <v>29</v>
      </c>
      <c r="L212" t="s">
        <v>22</v>
      </c>
    </row>
    <row r="213" spans="1:12" x14ac:dyDescent="0.3">
      <c r="A213" t="s">
        <v>723</v>
      </c>
      <c r="B213" t="s">
        <v>347</v>
      </c>
      <c r="C213" t="s">
        <v>724</v>
      </c>
      <c r="D213" t="s">
        <v>725</v>
      </c>
      <c r="E213" t="s">
        <v>34</v>
      </c>
      <c r="F213">
        <v>8271</v>
      </c>
      <c r="G213" t="s">
        <v>35</v>
      </c>
      <c r="H213" t="s">
        <v>105</v>
      </c>
      <c r="I213" t="s">
        <v>19</v>
      </c>
      <c r="J213" t="s">
        <v>95</v>
      </c>
      <c r="K213" t="s">
        <v>21</v>
      </c>
      <c r="L213" t="s">
        <v>38</v>
      </c>
    </row>
    <row r="214" spans="1:12" x14ac:dyDescent="0.3">
      <c r="A214" t="s">
        <v>726</v>
      </c>
      <c r="B214" t="s">
        <v>727</v>
      </c>
      <c r="C214" t="s">
        <v>728</v>
      </c>
      <c r="D214" t="s">
        <v>729</v>
      </c>
      <c r="E214" t="s">
        <v>16</v>
      </c>
      <c r="F214">
        <v>10899</v>
      </c>
      <c r="G214" t="s">
        <v>44</v>
      </c>
      <c r="H214" t="s">
        <v>113</v>
      </c>
      <c r="I214" t="s">
        <v>28</v>
      </c>
      <c r="J214" t="s">
        <v>46</v>
      </c>
      <c r="K214" t="s">
        <v>21</v>
      </c>
      <c r="L214" t="s">
        <v>38</v>
      </c>
    </row>
    <row r="215" spans="1:12" x14ac:dyDescent="0.3">
      <c r="A215" t="s">
        <v>730</v>
      </c>
      <c r="B215" t="s">
        <v>731</v>
      </c>
      <c r="C215" t="s">
        <v>426</v>
      </c>
      <c r="D215" t="s">
        <v>690</v>
      </c>
      <c r="E215" t="s">
        <v>16</v>
      </c>
      <c r="F215">
        <v>12698</v>
      </c>
      <c r="G215" t="s">
        <v>44</v>
      </c>
      <c r="H215" t="s">
        <v>27</v>
      </c>
      <c r="I215" t="s">
        <v>28</v>
      </c>
      <c r="J215" t="s">
        <v>46</v>
      </c>
      <c r="K215" t="s">
        <v>21</v>
      </c>
      <c r="L215" t="s">
        <v>38</v>
      </c>
    </row>
    <row r="216" spans="1:12" x14ac:dyDescent="0.3">
      <c r="A216" t="s">
        <v>732</v>
      </c>
      <c r="B216" t="s">
        <v>507</v>
      </c>
      <c r="C216" t="s">
        <v>733</v>
      </c>
      <c r="D216" t="s">
        <v>288</v>
      </c>
      <c r="E216" t="s">
        <v>94</v>
      </c>
      <c r="F216">
        <v>4926</v>
      </c>
      <c r="G216" t="s">
        <v>44</v>
      </c>
      <c r="H216" t="s">
        <v>85</v>
      </c>
      <c r="I216" t="s">
        <v>28</v>
      </c>
      <c r="J216" t="s">
        <v>20</v>
      </c>
      <c r="K216" t="s">
        <v>57</v>
      </c>
      <c r="L216" t="s">
        <v>38</v>
      </c>
    </row>
    <row r="217" spans="1:12" x14ac:dyDescent="0.3">
      <c r="A217" t="s">
        <v>734</v>
      </c>
      <c r="B217" t="s">
        <v>727</v>
      </c>
      <c r="C217" t="s">
        <v>735</v>
      </c>
      <c r="D217" t="s">
        <v>149</v>
      </c>
      <c r="E217" t="s">
        <v>62</v>
      </c>
      <c r="F217">
        <v>13081</v>
      </c>
      <c r="G217" t="s">
        <v>44</v>
      </c>
      <c r="H217" t="s">
        <v>36</v>
      </c>
      <c r="I217" t="s">
        <v>28</v>
      </c>
      <c r="J217" t="s">
        <v>20</v>
      </c>
      <c r="K217" t="s">
        <v>69</v>
      </c>
      <c r="L217" t="s">
        <v>38</v>
      </c>
    </row>
    <row r="218" spans="1:12" x14ac:dyDescent="0.3">
      <c r="A218" t="s">
        <v>736</v>
      </c>
      <c r="B218" t="s">
        <v>547</v>
      </c>
      <c r="C218" t="s">
        <v>737</v>
      </c>
      <c r="D218" t="s">
        <v>246</v>
      </c>
      <c r="E218" t="s">
        <v>62</v>
      </c>
      <c r="F218">
        <v>4762</v>
      </c>
      <c r="G218" t="s">
        <v>35</v>
      </c>
      <c r="H218" t="s">
        <v>52</v>
      </c>
      <c r="I218" t="s">
        <v>28</v>
      </c>
      <c r="J218" t="s">
        <v>46</v>
      </c>
      <c r="K218" t="s">
        <v>29</v>
      </c>
      <c r="L218" t="s">
        <v>38</v>
      </c>
    </row>
    <row r="219" spans="1:12" x14ac:dyDescent="0.3">
      <c r="A219" t="s">
        <v>738</v>
      </c>
      <c r="B219" t="s">
        <v>739</v>
      </c>
      <c r="C219" t="s">
        <v>740</v>
      </c>
      <c r="D219" t="s">
        <v>676</v>
      </c>
      <c r="E219" t="s">
        <v>78</v>
      </c>
      <c r="F219">
        <v>9258</v>
      </c>
      <c r="G219" t="s">
        <v>63</v>
      </c>
      <c r="H219" t="s">
        <v>27</v>
      </c>
      <c r="I219" t="s">
        <v>19</v>
      </c>
      <c r="J219" t="s">
        <v>20</v>
      </c>
      <c r="K219" t="s">
        <v>96</v>
      </c>
      <c r="L219" t="s">
        <v>38</v>
      </c>
    </row>
    <row r="220" spans="1:12" x14ac:dyDescent="0.3">
      <c r="A220" t="s">
        <v>741</v>
      </c>
      <c r="B220" t="s">
        <v>742</v>
      </c>
      <c r="C220" t="s">
        <v>627</v>
      </c>
      <c r="D220" t="s">
        <v>667</v>
      </c>
      <c r="E220" t="s">
        <v>43</v>
      </c>
      <c r="F220">
        <v>3864</v>
      </c>
      <c r="G220" t="s">
        <v>35</v>
      </c>
      <c r="H220" t="s">
        <v>85</v>
      </c>
      <c r="I220" t="s">
        <v>19</v>
      </c>
      <c r="J220" t="s">
        <v>46</v>
      </c>
      <c r="K220" t="s">
        <v>80</v>
      </c>
      <c r="L220" t="s">
        <v>38</v>
      </c>
    </row>
    <row r="221" spans="1:12" x14ac:dyDescent="0.3">
      <c r="A221" t="s">
        <v>743</v>
      </c>
      <c r="B221" t="s">
        <v>532</v>
      </c>
      <c r="C221" t="s">
        <v>275</v>
      </c>
      <c r="D221" t="s">
        <v>744</v>
      </c>
      <c r="E221" t="s">
        <v>94</v>
      </c>
      <c r="F221">
        <v>2637</v>
      </c>
      <c r="G221" t="s">
        <v>44</v>
      </c>
      <c r="H221" t="s">
        <v>27</v>
      </c>
      <c r="I221" t="s">
        <v>28</v>
      </c>
      <c r="J221" t="s">
        <v>46</v>
      </c>
      <c r="K221" t="s">
        <v>37</v>
      </c>
      <c r="L221" t="s">
        <v>38</v>
      </c>
    </row>
    <row r="222" spans="1:12" x14ac:dyDescent="0.3">
      <c r="A222" t="s">
        <v>745</v>
      </c>
      <c r="B222" t="s">
        <v>626</v>
      </c>
      <c r="C222" t="s">
        <v>746</v>
      </c>
      <c r="D222" t="s">
        <v>178</v>
      </c>
      <c r="E222" t="s">
        <v>16</v>
      </c>
      <c r="F222">
        <v>31725</v>
      </c>
      <c r="G222" t="s">
        <v>35</v>
      </c>
      <c r="H222" t="s">
        <v>105</v>
      </c>
      <c r="I222" t="s">
        <v>19</v>
      </c>
      <c r="J222" t="s">
        <v>20</v>
      </c>
      <c r="K222" t="s">
        <v>57</v>
      </c>
      <c r="L222" t="s">
        <v>22</v>
      </c>
    </row>
    <row r="223" spans="1:12" x14ac:dyDescent="0.3">
      <c r="A223" t="s">
        <v>747</v>
      </c>
      <c r="B223" t="s">
        <v>748</v>
      </c>
      <c r="C223" t="s">
        <v>749</v>
      </c>
      <c r="D223" t="s">
        <v>241</v>
      </c>
      <c r="E223" t="s">
        <v>78</v>
      </c>
      <c r="F223">
        <v>6554</v>
      </c>
      <c r="G223" t="s">
        <v>44</v>
      </c>
      <c r="H223" t="s">
        <v>52</v>
      </c>
      <c r="I223" t="s">
        <v>19</v>
      </c>
      <c r="J223" t="s">
        <v>95</v>
      </c>
      <c r="K223" t="s">
        <v>96</v>
      </c>
      <c r="L223" t="s">
        <v>38</v>
      </c>
    </row>
    <row r="224" spans="1:12" x14ac:dyDescent="0.3">
      <c r="A224" t="s">
        <v>750</v>
      </c>
      <c r="B224" t="s">
        <v>156</v>
      </c>
      <c r="C224" t="s">
        <v>751</v>
      </c>
      <c r="D224" t="s">
        <v>211</v>
      </c>
      <c r="E224" t="s">
        <v>51</v>
      </c>
      <c r="F224">
        <v>5539</v>
      </c>
      <c r="G224" t="s">
        <v>79</v>
      </c>
      <c r="H224" t="s">
        <v>85</v>
      </c>
      <c r="I224" t="s">
        <v>19</v>
      </c>
      <c r="J224" t="s">
        <v>95</v>
      </c>
      <c r="K224" t="s">
        <v>69</v>
      </c>
      <c r="L224" t="s">
        <v>38</v>
      </c>
    </row>
    <row r="225" spans="1:12" x14ac:dyDescent="0.3">
      <c r="A225" t="s">
        <v>752</v>
      </c>
      <c r="B225" t="s">
        <v>686</v>
      </c>
      <c r="C225" t="s">
        <v>753</v>
      </c>
      <c r="D225" t="s">
        <v>693</v>
      </c>
      <c r="E225" t="s">
        <v>62</v>
      </c>
      <c r="F225">
        <v>13301</v>
      </c>
      <c r="G225" t="s">
        <v>35</v>
      </c>
      <c r="H225" t="s">
        <v>85</v>
      </c>
      <c r="I225" t="s">
        <v>28</v>
      </c>
      <c r="J225" t="s">
        <v>20</v>
      </c>
      <c r="K225" t="s">
        <v>80</v>
      </c>
      <c r="L225" t="s">
        <v>38</v>
      </c>
    </row>
    <row r="226" spans="1:12" x14ac:dyDescent="0.3">
      <c r="A226" t="s">
        <v>754</v>
      </c>
      <c r="B226" t="s">
        <v>755</v>
      </c>
      <c r="C226" t="s">
        <v>756</v>
      </c>
      <c r="D226" t="s">
        <v>320</v>
      </c>
      <c r="E226" t="s">
        <v>16</v>
      </c>
      <c r="F226">
        <v>13005</v>
      </c>
      <c r="G226" t="s">
        <v>63</v>
      </c>
      <c r="H226" t="s">
        <v>27</v>
      </c>
      <c r="I226" t="s">
        <v>19</v>
      </c>
      <c r="J226" t="s">
        <v>95</v>
      </c>
      <c r="K226" t="s">
        <v>21</v>
      </c>
      <c r="L226" t="s">
        <v>38</v>
      </c>
    </row>
    <row r="227" spans="1:12" x14ac:dyDescent="0.3">
      <c r="A227" t="s">
        <v>757</v>
      </c>
      <c r="B227" t="s">
        <v>641</v>
      </c>
      <c r="C227" t="s">
        <v>758</v>
      </c>
      <c r="D227" t="s">
        <v>759</v>
      </c>
      <c r="E227" t="s">
        <v>43</v>
      </c>
      <c r="F227">
        <v>8492</v>
      </c>
      <c r="G227" t="s">
        <v>17</v>
      </c>
      <c r="H227" t="s">
        <v>18</v>
      </c>
      <c r="I227" t="s">
        <v>19</v>
      </c>
      <c r="J227" t="s">
        <v>46</v>
      </c>
      <c r="K227" t="s">
        <v>29</v>
      </c>
      <c r="L227" t="s">
        <v>38</v>
      </c>
    </row>
    <row r="228" spans="1:12" x14ac:dyDescent="0.3">
      <c r="A228" t="s">
        <v>760</v>
      </c>
      <c r="B228" t="s">
        <v>360</v>
      </c>
      <c r="C228" t="s">
        <v>761</v>
      </c>
      <c r="D228" t="s">
        <v>320</v>
      </c>
      <c r="E228" t="s">
        <v>51</v>
      </c>
      <c r="F228">
        <v>161</v>
      </c>
      <c r="G228" t="s">
        <v>79</v>
      </c>
      <c r="H228" t="s">
        <v>52</v>
      </c>
      <c r="I228" t="s">
        <v>28</v>
      </c>
      <c r="J228" t="s">
        <v>20</v>
      </c>
      <c r="K228" t="s">
        <v>37</v>
      </c>
      <c r="L228" t="s">
        <v>38</v>
      </c>
    </row>
    <row r="229" spans="1:12" x14ac:dyDescent="0.3">
      <c r="A229" t="s">
        <v>762</v>
      </c>
      <c r="B229" t="s">
        <v>763</v>
      </c>
      <c r="C229" t="s">
        <v>764</v>
      </c>
      <c r="D229" t="s">
        <v>298</v>
      </c>
      <c r="E229" t="s">
        <v>16</v>
      </c>
      <c r="F229">
        <v>67127</v>
      </c>
      <c r="G229" t="s">
        <v>35</v>
      </c>
      <c r="H229" t="s">
        <v>18</v>
      </c>
      <c r="I229" t="s">
        <v>28</v>
      </c>
      <c r="J229" t="s">
        <v>20</v>
      </c>
      <c r="K229" t="s">
        <v>37</v>
      </c>
      <c r="L229" t="s">
        <v>22</v>
      </c>
    </row>
    <row r="230" spans="1:12" x14ac:dyDescent="0.3">
      <c r="A230" t="s">
        <v>765</v>
      </c>
      <c r="B230" t="s">
        <v>641</v>
      </c>
      <c r="C230" t="s">
        <v>766</v>
      </c>
      <c r="D230" t="s">
        <v>517</v>
      </c>
      <c r="E230" t="s">
        <v>94</v>
      </c>
      <c r="F230">
        <v>14715</v>
      </c>
      <c r="G230" t="s">
        <v>35</v>
      </c>
      <c r="H230" t="s">
        <v>52</v>
      </c>
      <c r="I230" t="s">
        <v>28</v>
      </c>
      <c r="J230" t="s">
        <v>20</v>
      </c>
      <c r="K230" t="s">
        <v>21</v>
      </c>
      <c r="L230" t="s">
        <v>38</v>
      </c>
    </row>
    <row r="231" spans="1:12" x14ac:dyDescent="0.3">
      <c r="A231" t="s">
        <v>767</v>
      </c>
      <c r="B231" t="s">
        <v>768</v>
      </c>
      <c r="C231" t="s">
        <v>769</v>
      </c>
      <c r="D231" t="s">
        <v>699</v>
      </c>
      <c r="E231" t="s">
        <v>51</v>
      </c>
      <c r="F231">
        <v>7884</v>
      </c>
      <c r="G231" t="s">
        <v>79</v>
      </c>
      <c r="H231" t="s">
        <v>45</v>
      </c>
      <c r="I231" t="s">
        <v>28</v>
      </c>
      <c r="J231" t="s">
        <v>95</v>
      </c>
      <c r="K231" t="s">
        <v>80</v>
      </c>
      <c r="L231" t="s">
        <v>38</v>
      </c>
    </row>
    <row r="232" spans="1:12" x14ac:dyDescent="0.3">
      <c r="A232" t="s">
        <v>770</v>
      </c>
      <c r="B232" t="s">
        <v>198</v>
      </c>
      <c r="C232" t="s">
        <v>771</v>
      </c>
      <c r="D232" t="s">
        <v>772</v>
      </c>
      <c r="E232" t="s">
        <v>34</v>
      </c>
      <c r="F232">
        <v>13189</v>
      </c>
      <c r="G232" t="s">
        <v>63</v>
      </c>
      <c r="H232" t="s">
        <v>18</v>
      </c>
      <c r="I232" t="s">
        <v>28</v>
      </c>
      <c r="J232" t="s">
        <v>20</v>
      </c>
      <c r="K232" t="s">
        <v>21</v>
      </c>
      <c r="L232" t="s">
        <v>38</v>
      </c>
    </row>
    <row r="233" spans="1:12" x14ac:dyDescent="0.3">
      <c r="A233" t="s">
        <v>773</v>
      </c>
      <c r="B233" t="s">
        <v>296</v>
      </c>
      <c r="C233" t="s">
        <v>774</v>
      </c>
      <c r="D233" t="s">
        <v>775</v>
      </c>
      <c r="E233" t="s">
        <v>16</v>
      </c>
      <c r="F233">
        <v>34707</v>
      </c>
      <c r="G233" t="s">
        <v>79</v>
      </c>
      <c r="H233" t="s">
        <v>113</v>
      </c>
      <c r="I233" t="s">
        <v>19</v>
      </c>
      <c r="J233" t="s">
        <v>20</v>
      </c>
      <c r="K233" t="s">
        <v>37</v>
      </c>
      <c r="L233" t="s">
        <v>22</v>
      </c>
    </row>
    <row r="234" spans="1:12" x14ac:dyDescent="0.3">
      <c r="A234" t="s">
        <v>776</v>
      </c>
      <c r="B234" t="s">
        <v>184</v>
      </c>
      <c r="C234" t="s">
        <v>777</v>
      </c>
      <c r="D234" t="s">
        <v>476</v>
      </c>
      <c r="E234" t="s">
        <v>16</v>
      </c>
      <c r="F234">
        <v>46922</v>
      </c>
      <c r="G234" t="s">
        <v>35</v>
      </c>
      <c r="H234" t="s">
        <v>85</v>
      </c>
      <c r="I234" t="s">
        <v>19</v>
      </c>
      <c r="J234" t="s">
        <v>46</v>
      </c>
      <c r="K234" t="s">
        <v>57</v>
      </c>
      <c r="L234" t="s">
        <v>22</v>
      </c>
    </row>
    <row r="235" spans="1:12" x14ac:dyDescent="0.3">
      <c r="A235" t="s">
        <v>778</v>
      </c>
      <c r="B235" t="s">
        <v>373</v>
      </c>
      <c r="C235" t="s">
        <v>779</v>
      </c>
      <c r="D235" t="s">
        <v>628</v>
      </c>
      <c r="E235" t="s">
        <v>16</v>
      </c>
      <c r="F235">
        <v>9289</v>
      </c>
      <c r="G235" t="s">
        <v>44</v>
      </c>
      <c r="H235" t="s">
        <v>52</v>
      </c>
      <c r="I235" t="s">
        <v>19</v>
      </c>
      <c r="J235" t="s">
        <v>46</v>
      </c>
      <c r="K235" t="s">
        <v>57</v>
      </c>
      <c r="L235" t="s">
        <v>38</v>
      </c>
    </row>
    <row r="236" spans="1:12" x14ac:dyDescent="0.3">
      <c r="A236" t="s">
        <v>780</v>
      </c>
      <c r="B236" t="s">
        <v>781</v>
      </c>
      <c r="C236" t="s">
        <v>203</v>
      </c>
      <c r="D236" t="s">
        <v>335</v>
      </c>
      <c r="E236" t="s">
        <v>43</v>
      </c>
      <c r="F236">
        <v>9525</v>
      </c>
      <c r="G236" t="s">
        <v>17</v>
      </c>
      <c r="H236" t="s">
        <v>18</v>
      </c>
      <c r="I236" t="s">
        <v>19</v>
      </c>
      <c r="J236" t="s">
        <v>46</v>
      </c>
      <c r="K236" t="s">
        <v>96</v>
      </c>
      <c r="L236" t="s">
        <v>38</v>
      </c>
    </row>
    <row r="237" spans="1:12" x14ac:dyDescent="0.3">
      <c r="A237" t="s">
        <v>782</v>
      </c>
      <c r="B237" t="s">
        <v>24</v>
      </c>
      <c r="C237" t="s">
        <v>783</v>
      </c>
      <c r="D237" t="s">
        <v>784</v>
      </c>
      <c r="E237" t="s">
        <v>34</v>
      </c>
      <c r="F237">
        <v>2998</v>
      </c>
      <c r="G237" t="s">
        <v>17</v>
      </c>
      <c r="H237" t="s">
        <v>36</v>
      </c>
      <c r="I237" t="s">
        <v>28</v>
      </c>
      <c r="J237" t="s">
        <v>95</v>
      </c>
      <c r="K237" t="s">
        <v>57</v>
      </c>
      <c r="L237" t="s">
        <v>38</v>
      </c>
    </row>
    <row r="238" spans="1:12" x14ac:dyDescent="0.3">
      <c r="A238" t="s">
        <v>785</v>
      </c>
      <c r="B238" t="s">
        <v>786</v>
      </c>
      <c r="C238" t="s">
        <v>787</v>
      </c>
      <c r="D238" t="s">
        <v>651</v>
      </c>
      <c r="E238" t="s">
        <v>94</v>
      </c>
      <c r="F238">
        <v>11235</v>
      </c>
      <c r="G238" t="s">
        <v>35</v>
      </c>
      <c r="H238" t="s">
        <v>113</v>
      </c>
      <c r="I238" t="s">
        <v>28</v>
      </c>
      <c r="J238" t="s">
        <v>46</v>
      </c>
      <c r="K238" t="s">
        <v>21</v>
      </c>
      <c r="L238" t="s">
        <v>38</v>
      </c>
    </row>
    <row r="239" spans="1:12" x14ac:dyDescent="0.3">
      <c r="A239" t="s">
        <v>788</v>
      </c>
      <c r="B239" t="s">
        <v>507</v>
      </c>
      <c r="C239" t="s">
        <v>789</v>
      </c>
      <c r="D239" t="s">
        <v>327</v>
      </c>
      <c r="E239" t="s">
        <v>62</v>
      </c>
      <c r="F239">
        <v>12439</v>
      </c>
      <c r="G239" t="s">
        <v>35</v>
      </c>
      <c r="H239" t="s">
        <v>36</v>
      </c>
      <c r="I239" t="s">
        <v>28</v>
      </c>
      <c r="J239" t="s">
        <v>46</v>
      </c>
      <c r="K239" t="s">
        <v>69</v>
      </c>
      <c r="L239" t="s">
        <v>38</v>
      </c>
    </row>
    <row r="240" spans="1:12" x14ac:dyDescent="0.3">
      <c r="A240" t="s">
        <v>790</v>
      </c>
      <c r="B240" t="s">
        <v>190</v>
      </c>
      <c r="C240" t="s">
        <v>698</v>
      </c>
      <c r="D240" t="s">
        <v>174</v>
      </c>
      <c r="E240" t="s">
        <v>78</v>
      </c>
      <c r="F240">
        <v>2591</v>
      </c>
      <c r="G240" t="s">
        <v>63</v>
      </c>
      <c r="H240" t="s">
        <v>18</v>
      </c>
      <c r="I240" t="s">
        <v>19</v>
      </c>
      <c r="J240" t="s">
        <v>95</v>
      </c>
      <c r="K240" t="s">
        <v>69</v>
      </c>
      <c r="L240" t="s">
        <v>38</v>
      </c>
    </row>
    <row r="241" spans="1:12" x14ac:dyDescent="0.3">
      <c r="A241" t="s">
        <v>791</v>
      </c>
      <c r="B241" t="s">
        <v>256</v>
      </c>
      <c r="C241" t="s">
        <v>792</v>
      </c>
      <c r="D241" t="s">
        <v>112</v>
      </c>
      <c r="E241" t="s">
        <v>78</v>
      </c>
      <c r="F241">
        <v>14529</v>
      </c>
      <c r="G241" t="s">
        <v>79</v>
      </c>
      <c r="H241" t="s">
        <v>18</v>
      </c>
      <c r="I241" t="s">
        <v>19</v>
      </c>
      <c r="J241" t="s">
        <v>20</v>
      </c>
      <c r="K241" t="s">
        <v>57</v>
      </c>
      <c r="L241" t="s">
        <v>38</v>
      </c>
    </row>
    <row r="242" spans="1:12" x14ac:dyDescent="0.3">
      <c r="A242" t="s">
        <v>793</v>
      </c>
      <c r="B242" t="s">
        <v>230</v>
      </c>
      <c r="C242" t="s">
        <v>794</v>
      </c>
      <c r="D242" t="s">
        <v>371</v>
      </c>
      <c r="E242" t="s">
        <v>94</v>
      </c>
      <c r="F242">
        <v>847</v>
      </c>
      <c r="G242" t="s">
        <v>35</v>
      </c>
      <c r="H242" t="s">
        <v>85</v>
      </c>
      <c r="I242" t="s">
        <v>19</v>
      </c>
      <c r="J242" t="s">
        <v>20</v>
      </c>
      <c r="K242" t="s">
        <v>21</v>
      </c>
      <c r="L242" t="s">
        <v>38</v>
      </c>
    </row>
    <row r="243" spans="1:12" x14ac:dyDescent="0.3">
      <c r="A243" t="s">
        <v>795</v>
      </c>
      <c r="B243" t="s">
        <v>416</v>
      </c>
      <c r="C243" t="s">
        <v>796</v>
      </c>
      <c r="D243" t="s">
        <v>331</v>
      </c>
      <c r="E243" t="s">
        <v>16</v>
      </c>
      <c r="F243">
        <v>57914</v>
      </c>
      <c r="G243" t="s">
        <v>35</v>
      </c>
      <c r="H243" t="s">
        <v>45</v>
      </c>
      <c r="I243" t="s">
        <v>19</v>
      </c>
      <c r="J243" t="s">
        <v>46</v>
      </c>
      <c r="K243" t="s">
        <v>37</v>
      </c>
      <c r="L243" t="s">
        <v>22</v>
      </c>
    </row>
    <row r="244" spans="1:12" x14ac:dyDescent="0.3">
      <c r="A244" t="s">
        <v>797</v>
      </c>
      <c r="B244" t="s">
        <v>522</v>
      </c>
      <c r="C244" t="s">
        <v>798</v>
      </c>
      <c r="D244" t="s">
        <v>729</v>
      </c>
      <c r="E244" t="s">
        <v>62</v>
      </c>
      <c r="F244">
        <v>6825</v>
      </c>
      <c r="G244" t="s">
        <v>17</v>
      </c>
      <c r="H244" t="s">
        <v>113</v>
      </c>
      <c r="I244" t="s">
        <v>28</v>
      </c>
      <c r="J244" t="s">
        <v>20</v>
      </c>
      <c r="K244" t="s">
        <v>21</v>
      </c>
      <c r="L244" t="s">
        <v>38</v>
      </c>
    </row>
    <row r="245" spans="1:12" x14ac:dyDescent="0.3">
      <c r="A245" t="s">
        <v>799</v>
      </c>
      <c r="B245" t="s">
        <v>606</v>
      </c>
      <c r="C245" t="s">
        <v>800</v>
      </c>
      <c r="D245" t="s">
        <v>690</v>
      </c>
      <c r="E245" t="s">
        <v>34</v>
      </c>
      <c r="F245">
        <v>10590</v>
      </c>
      <c r="G245" t="s">
        <v>44</v>
      </c>
      <c r="H245" t="s">
        <v>36</v>
      </c>
      <c r="I245" t="s">
        <v>28</v>
      </c>
      <c r="J245" t="s">
        <v>95</v>
      </c>
      <c r="K245" t="s">
        <v>29</v>
      </c>
      <c r="L245" t="s">
        <v>38</v>
      </c>
    </row>
    <row r="246" spans="1:12" x14ac:dyDescent="0.3">
      <c r="A246" t="s">
        <v>801</v>
      </c>
      <c r="B246" t="s">
        <v>786</v>
      </c>
      <c r="C246" t="s">
        <v>527</v>
      </c>
      <c r="D246" t="s">
        <v>358</v>
      </c>
      <c r="E246" t="s">
        <v>78</v>
      </c>
      <c r="F246">
        <v>8863</v>
      </c>
      <c r="G246" t="s">
        <v>79</v>
      </c>
      <c r="H246" t="s">
        <v>113</v>
      </c>
      <c r="I246" t="s">
        <v>28</v>
      </c>
      <c r="J246" t="s">
        <v>20</v>
      </c>
      <c r="K246" t="s">
        <v>96</v>
      </c>
      <c r="L246" t="s">
        <v>38</v>
      </c>
    </row>
    <row r="247" spans="1:12" x14ac:dyDescent="0.3">
      <c r="A247" t="s">
        <v>802</v>
      </c>
      <c r="B247" t="s">
        <v>194</v>
      </c>
      <c r="C247" t="s">
        <v>245</v>
      </c>
      <c r="D247" t="s">
        <v>759</v>
      </c>
      <c r="E247" t="s">
        <v>78</v>
      </c>
      <c r="F247">
        <v>9180</v>
      </c>
      <c r="G247" t="s">
        <v>63</v>
      </c>
      <c r="H247" t="s">
        <v>52</v>
      </c>
      <c r="I247" t="s">
        <v>19</v>
      </c>
      <c r="J247" t="s">
        <v>46</v>
      </c>
      <c r="K247" t="s">
        <v>37</v>
      </c>
      <c r="L247" t="s">
        <v>38</v>
      </c>
    </row>
    <row r="248" spans="1:12" x14ac:dyDescent="0.3">
      <c r="A248" t="s">
        <v>803</v>
      </c>
      <c r="B248" t="s">
        <v>420</v>
      </c>
      <c r="C248" t="s">
        <v>804</v>
      </c>
      <c r="D248" t="s">
        <v>805</v>
      </c>
      <c r="E248" t="s">
        <v>43</v>
      </c>
      <c r="F248">
        <v>13929</v>
      </c>
      <c r="G248" t="s">
        <v>17</v>
      </c>
      <c r="H248" t="s">
        <v>27</v>
      </c>
      <c r="I248" t="s">
        <v>19</v>
      </c>
      <c r="J248" t="s">
        <v>95</v>
      </c>
      <c r="K248" t="s">
        <v>37</v>
      </c>
      <c r="L248" t="s">
        <v>38</v>
      </c>
    </row>
    <row r="249" spans="1:12" x14ac:dyDescent="0.3">
      <c r="A249" t="s">
        <v>806</v>
      </c>
      <c r="B249" t="s">
        <v>230</v>
      </c>
      <c r="C249" t="s">
        <v>807</v>
      </c>
      <c r="D249" t="s">
        <v>406</v>
      </c>
      <c r="E249" t="s">
        <v>78</v>
      </c>
      <c r="F249">
        <v>697</v>
      </c>
      <c r="G249" t="s">
        <v>44</v>
      </c>
      <c r="H249" t="s">
        <v>27</v>
      </c>
      <c r="I249" t="s">
        <v>28</v>
      </c>
      <c r="J249" t="s">
        <v>95</v>
      </c>
      <c r="K249" t="s">
        <v>29</v>
      </c>
      <c r="L249" t="s">
        <v>38</v>
      </c>
    </row>
    <row r="250" spans="1:12" x14ac:dyDescent="0.3">
      <c r="A250" t="s">
        <v>808</v>
      </c>
      <c r="B250" t="s">
        <v>337</v>
      </c>
      <c r="C250" t="s">
        <v>809</v>
      </c>
      <c r="D250" t="s">
        <v>406</v>
      </c>
      <c r="E250" t="s">
        <v>78</v>
      </c>
      <c r="F250">
        <v>301</v>
      </c>
      <c r="G250" t="s">
        <v>79</v>
      </c>
      <c r="H250" t="s">
        <v>85</v>
      </c>
      <c r="I250" t="s">
        <v>19</v>
      </c>
      <c r="J250" t="s">
        <v>95</v>
      </c>
      <c r="K250" t="s">
        <v>80</v>
      </c>
      <c r="L250" t="s">
        <v>38</v>
      </c>
    </row>
    <row r="251" spans="1:12" x14ac:dyDescent="0.3">
      <c r="A251" t="s">
        <v>810</v>
      </c>
      <c r="B251" t="s">
        <v>54</v>
      </c>
      <c r="C251" t="s">
        <v>394</v>
      </c>
      <c r="D251" t="s">
        <v>288</v>
      </c>
      <c r="E251" t="s">
        <v>34</v>
      </c>
      <c r="F251">
        <v>3971</v>
      </c>
      <c r="G251" t="s">
        <v>44</v>
      </c>
      <c r="H251" t="s">
        <v>85</v>
      </c>
      <c r="I251" t="s">
        <v>28</v>
      </c>
      <c r="J251" t="s">
        <v>46</v>
      </c>
      <c r="K251" t="s">
        <v>37</v>
      </c>
      <c r="L251" t="s">
        <v>38</v>
      </c>
    </row>
    <row r="252" spans="1:12" x14ac:dyDescent="0.3">
      <c r="A252" t="s">
        <v>811</v>
      </c>
      <c r="B252" t="s">
        <v>296</v>
      </c>
      <c r="C252" t="s">
        <v>812</v>
      </c>
      <c r="D252" t="s">
        <v>276</v>
      </c>
      <c r="E252" t="s">
        <v>43</v>
      </c>
      <c r="F252">
        <v>8197</v>
      </c>
      <c r="G252" t="s">
        <v>44</v>
      </c>
      <c r="H252" t="s">
        <v>45</v>
      </c>
      <c r="I252" t="s">
        <v>19</v>
      </c>
      <c r="J252" t="s">
        <v>95</v>
      </c>
      <c r="K252" t="s">
        <v>37</v>
      </c>
      <c r="L252" t="s">
        <v>38</v>
      </c>
    </row>
    <row r="253" spans="1:12" x14ac:dyDescent="0.3">
      <c r="A253" t="s">
        <v>813</v>
      </c>
      <c r="B253" t="s">
        <v>194</v>
      </c>
      <c r="C253" t="s">
        <v>814</v>
      </c>
      <c r="D253" t="s">
        <v>815</v>
      </c>
      <c r="E253" t="s">
        <v>16</v>
      </c>
      <c r="F253">
        <v>49002</v>
      </c>
      <c r="G253" t="s">
        <v>35</v>
      </c>
      <c r="H253" t="s">
        <v>36</v>
      </c>
      <c r="I253" t="s">
        <v>28</v>
      </c>
      <c r="J253" t="s">
        <v>20</v>
      </c>
      <c r="K253" t="s">
        <v>29</v>
      </c>
      <c r="L253" t="s">
        <v>22</v>
      </c>
    </row>
    <row r="254" spans="1:12" x14ac:dyDescent="0.3">
      <c r="A254" t="s">
        <v>816</v>
      </c>
      <c r="B254" t="s">
        <v>817</v>
      </c>
      <c r="C254" t="s">
        <v>818</v>
      </c>
      <c r="D254" t="s">
        <v>481</v>
      </c>
      <c r="E254" t="s">
        <v>51</v>
      </c>
      <c r="F254">
        <v>9385</v>
      </c>
      <c r="G254" t="s">
        <v>17</v>
      </c>
      <c r="H254" t="s">
        <v>45</v>
      </c>
      <c r="I254" t="s">
        <v>28</v>
      </c>
      <c r="J254" t="s">
        <v>95</v>
      </c>
      <c r="K254" t="s">
        <v>69</v>
      </c>
      <c r="L254" t="s">
        <v>38</v>
      </c>
    </row>
    <row r="255" spans="1:12" x14ac:dyDescent="0.3">
      <c r="A255" t="s">
        <v>819</v>
      </c>
      <c r="B255" t="s">
        <v>820</v>
      </c>
      <c r="C255" t="s">
        <v>821</v>
      </c>
      <c r="D255" t="s">
        <v>298</v>
      </c>
      <c r="E255" t="s">
        <v>94</v>
      </c>
      <c r="F255">
        <v>7600</v>
      </c>
      <c r="G255" t="s">
        <v>79</v>
      </c>
      <c r="H255" t="s">
        <v>113</v>
      </c>
      <c r="I255" t="s">
        <v>28</v>
      </c>
      <c r="J255" t="s">
        <v>46</v>
      </c>
      <c r="K255" t="s">
        <v>29</v>
      </c>
      <c r="L255" t="s">
        <v>38</v>
      </c>
    </row>
    <row r="256" spans="1:12" x14ac:dyDescent="0.3">
      <c r="A256" t="s">
        <v>822</v>
      </c>
      <c r="B256" t="s">
        <v>820</v>
      </c>
      <c r="C256" t="s">
        <v>823</v>
      </c>
      <c r="D256" t="s">
        <v>824</v>
      </c>
      <c r="E256" t="s">
        <v>34</v>
      </c>
      <c r="F256">
        <v>8634</v>
      </c>
      <c r="G256" t="s">
        <v>35</v>
      </c>
      <c r="H256" t="s">
        <v>105</v>
      </c>
      <c r="I256" t="s">
        <v>19</v>
      </c>
      <c r="J256" t="s">
        <v>20</v>
      </c>
      <c r="K256" t="s">
        <v>57</v>
      </c>
      <c r="L256" t="s">
        <v>38</v>
      </c>
    </row>
    <row r="257" spans="1:12" x14ac:dyDescent="0.3">
      <c r="A257" t="s">
        <v>825</v>
      </c>
      <c r="B257" t="s">
        <v>123</v>
      </c>
      <c r="C257" t="s">
        <v>826</v>
      </c>
      <c r="D257" t="s">
        <v>827</v>
      </c>
      <c r="E257" t="s">
        <v>43</v>
      </c>
      <c r="F257">
        <v>11636</v>
      </c>
      <c r="G257" t="s">
        <v>79</v>
      </c>
      <c r="H257" t="s">
        <v>85</v>
      </c>
      <c r="I257" t="s">
        <v>28</v>
      </c>
      <c r="J257" t="s">
        <v>20</v>
      </c>
      <c r="K257" t="s">
        <v>96</v>
      </c>
      <c r="L257" t="s">
        <v>38</v>
      </c>
    </row>
    <row r="258" spans="1:12" x14ac:dyDescent="0.3">
      <c r="A258" t="s">
        <v>828</v>
      </c>
      <c r="B258" t="s">
        <v>13</v>
      </c>
      <c r="C258" t="s">
        <v>692</v>
      </c>
      <c r="D258" t="s">
        <v>441</v>
      </c>
      <c r="E258" t="s">
        <v>94</v>
      </c>
      <c r="F258">
        <v>10151</v>
      </c>
      <c r="G258" t="s">
        <v>68</v>
      </c>
      <c r="H258" t="s">
        <v>105</v>
      </c>
      <c r="I258" t="s">
        <v>28</v>
      </c>
      <c r="J258" t="s">
        <v>46</v>
      </c>
      <c r="K258" t="s">
        <v>96</v>
      </c>
      <c r="L258" t="s">
        <v>38</v>
      </c>
    </row>
    <row r="259" spans="1:12" x14ac:dyDescent="0.3">
      <c r="A259" t="s">
        <v>829</v>
      </c>
      <c r="B259" t="s">
        <v>742</v>
      </c>
      <c r="C259" t="s">
        <v>830</v>
      </c>
      <c r="D259" t="s">
        <v>676</v>
      </c>
      <c r="E259" t="s">
        <v>43</v>
      </c>
      <c r="F259">
        <v>8827</v>
      </c>
      <c r="G259" t="s">
        <v>68</v>
      </c>
      <c r="H259" t="s">
        <v>36</v>
      </c>
      <c r="I259" t="s">
        <v>19</v>
      </c>
      <c r="J259" t="s">
        <v>95</v>
      </c>
      <c r="K259" t="s">
        <v>96</v>
      </c>
      <c r="L259" t="s">
        <v>38</v>
      </c>
    </row>
    <row r="260" spans="1:12" x14ac:dyDescent="0.3">
      <c r="A260" t="s">
        <v>831</v>
      </c>
      <c r="B260" t="s">
        <v>832</v>
      </c>
      <c r="C260" t="s">
        <v>833</v>
      </c>
      <c r="D260" t="s">
        <v>125</v>
      </c>
      <c r="E260" t="s">
        <v>16</v>
      </c>
      <c r="F260">
        <v>45156</v>
      </c>
      <c r="G260" t="s">
        <v>17</v>
      </c>
      <c r="H260" t="s">
        <v>45</v>
      </c>
      <c r="I260" t="s">
        <v>28</v>
      </c>
      <c r="J260" t="s">
        <v>46</v>
      </c>
      <c r="K260" t="s">
        <v>69</v>
      </c>
      <c r="L260" t="s">
        <v>22</v>
      </c>
    </row>
    <row r="261" spans="1:12" x14ac:dyDescent="0.3">
      <c r="A261" t="s">
        <v>834</v>
      </c>
      <c r="B261" t="s">
        <v>420</v>
      </c>
      <c r="C261" t="s">
        <v>148</v>
      </c>
      <c r="D261" t="s">
        <v>104</v>
      </c>
      <c r="E261" t="s">
        <v>16</v>
      </c>
      <c r="F261">
        <v>6702</v>
      </c>
      <c r="G261" t="s">
        <v>68</v>
      </c>
      <c r="H261" t="s">
        <v>27</v>
      </c>
      <c r="I261" t="s">
        <v>28</v>
      </c>
      <c r="J261" t="s">
        <v>20</v>
      </c>
      <c r="K261" t="s">
        <v>80</v>
      </c>
      <c r="L261" t="s">
        <v>38</v>
      </c>
    </row>
    <row r="262" spans="1:12" x14ac:dyDescent="0.3">
      <c r="A262" t="s">
        <v>835</v>
      </c>
      <c r="B262" t="s">
        <v>237</v>
      </c>
      <c r="C262" t="s">
        <v>836</v>
      </c>
      <c r="D262" t="s">
        <v>246</v>
      </c>
      <c r="E262" t="s">
        <v>43</v>
      </c>
      <c r="F262">
        <v>10697</v>
      </c>
      <c r="G262" t="s">
        <v>63</v>
      </c>
      <c r="H262" t="s">
        <v>36</v>
      </c>
      <c r="I262" t="s">
        <v>28</v>
      </c>
      <c r="J262" t="s">
        <v>46</v>
      </c>
      <c r="K262" t="s">
        <v>96</v>
      </c>
      <c r="L262" t="s">
        <v>38</v>
      </c>
    </row>
    <row r="263" spans="1:12" x14ac:dyDescent="0.3">
      <c r="A263" t="s">
        <v>837</v>
      </c>
      <c r="B263" t="s">
        <v>164</v>
      </c>
      <c r="C263" t="s">
        <v>838</v>
      </c>
      <c r="D263" t="s">
        <v>638</v>
      </c>
      <c r="E263" t="s">
        <v>34</v>
      </c>
      <c r="F263">
        <v>1404</v>
      </c>
      <c r="G263" t="s">
        <v>68</v>
      </c>
      <c r="H263" t="s">
        <v>45</v>
      </c>
      <c r="I263" t="s">
        <v>19</v>
      </c>
      <c r="J263" t="s">
        <v>46</v>
      </c>
      <c r="K263" t="s">
        <v>21</v>
      </c>
      <c r="L263" t="s">
        <v>38</v>
      </c>
    </row>
    <row r="264" spans="1:12" x14ac:dyDescent="0.3">
      <c r="A264" t="s">
        <v>839</v>
      </c>
      <c r="B264" t="s">
        <v>71</v>
      </c>
      <c r="C264" t="s">
        <v>840</v>
      </c>
      <c r="D264" t="s">
        <v>841</v>
      </c>
      <c r="E264" t="s">
        <v>62</v>
      </c>
      <c r="F264">
        <v>14273</v>
      </c>
      <c r="G264" t="s">
        <v>79</v>
      </c>
      <c r="H264" t="s">
        <v>18</v>
      </c>
      <c r="I264" t="s">
        <v>28</v>
      </c>
      <c r="J264" t="s">
        <v>20</v>
      </c>
      <c r="K264" t="s">
        <v>21</v>
      </c>
      <c r="L264" t="s">
        <v>38</v>
      </c>
    </row>
    <row r="265" spans="1:12" x14ac:dyDescent="0.3">
      <c r="A265" t="s">
        <v>842</v>
      </c>
      <c r="B265" t="s">
        <v>131</v>
      </c>
      <c r="C265" t="s">
        <v>843</v>
      </c>
      <c r="D265" t="s">
        <v>725</v>
      </c>
      <c r="E265" t="s">
        <v>16</v>
      </c>
      <c r="F265">
        <v>61220</v>
      </c>
      <c r="G265" t="s">
        <v>44</v>
      </c>
      <c r="H265" t="s">
        <v>113</v>
      </c>
      <c r="I265" t="s">
        <v>28</v>
      </c>
      <c r="J265" t="s">
        <v>20</v>
      </c>
      <c r="K265" t="s">
        <v>96</v>
      </c>
      <c r="L265" t="s">
        <v>22</v>
      </c>
    </row>
    <row r="266" spans="1:12" x14ac:dyDescent="0.3">
      <c r="A266" t="s">
        <v>844</v>
      </c>
      <c r="B266" t="s">
        <v>845</v>
      </c>
      <c r="C266" t="s">
        <v>846</v>
      </c>
      <c r="D266" t="s">
        <v>268</v>
      </c>
      <c r="E266" t="s">
        <v>94</v>
      </c>
      <c r="F266">
        <v>9334</v>
      </c>
      <c r="G266" t="s">
        <v>63</v>
      </c>
      <c r="H266" t="s">
        <v>36</v>
      </c>
      <c r="I266" t="s">
        <v>19</v>
      </c>
      <c r="J266" t="s">
        <v>95</v>
      </c>
      <c r="K266" t="s">
        <v>69</v>
      </c>
      <c r="L266" t="s">
        <v>38</v>
      </c>
    </row>
    <row r="267" spans="1:12" x14ac:dyDescent="0.3">
      <c r="A267" t="s">
        <v>847</v>
      </c>
      <c r="B267" t="s">
        <v>420</v>
      </c>
      <c r="C267" t="s">
        <v>848</v>
      </c>
      <c r="D267" t="s">
        <v>849</v>
      </c>
      <c r="E267" t="s">
        <v>43</v>
      </c>
      <c r="F267">
        <v>5716</v>
      </c>
      <c r="G267" t="s">
        <v>79</v>
      </c>
      <c r="H267" t="s">
        <v>18</v>
      </c>
      <c r="I267" t="s">
        <v>28</v>
      </c>
      <c r="J267" t="s">
        <v>46</v>
      </c>
      <c r="K267" t="s">
        <v>21</v>
      </c>
      <c r="L267" t="s">
        <v>38</v>
      </c>
    </row>
    <row r="268" spans="1:12" x14ac:dyDescent="0.3">
      <c r="A268" t="s">
        <v>850</v>
      </c>
      <c r="B268" t="s">
        <v>851</v>
      </c>
      <c r="C268" t="s">
        <v>852</v>
      </c>
      <c r="D268" t="s">
        <v>772</v>
      </c>
      <c r="E268" t="s">
        <v>43</v>
      </c>
      <c r="F268">
        <v>12723</v>
      </c>
      <c r="G268" t="s">
        <v>44</v>
      </c>
      <c r="H268" t="s">
        <v>85</v>
      </c>
      <c r="I268" t="s">
        <v>28</v>
      </c>
      <c r="J268" t="s">
        <v>95</v>
      </c>
      <c r="K268" t="s">
        <v>29</v>
      </c>
      <c r="L268" t="s">
        <v>38</v>
      </c>
    </row>
    <row r="269" spans="1:12" x14ac:dyDescent="0.3">
      <c r="A269" t="s">
        <v>853</v>
      </c>
      <c r="B269" t="s">
        <v>91</v>
      </c>
      <c r="C269" t="s">
        <v>854</v>
      </c>
      <c r="D269" t="s">
        <v>855</v>
      </c>
      <c r="E269" t="s">
        <v>94</v>
      </c>
      <c r="F269">
        <v>7125</v>
      </c>
      <c r="G269" t="s">
        <v>79</v>
      </c>
      <c r="H269" t="s">
        <v>36</v>
      </c>
      <c r="I269" t="s">
        <v>19</v>
      </c>
      <c r="J269" t="s">
        <v>95</v>
      </c>
      <c r="K269" t="s">
        <v>69</v>
      </c>
      <c r="L269" t="s">
        <v>38</v>
      </c>
    </row>
    <row r="270" spans="1:12" x14ac:dyDescent="0.3">
      <c r="A270" t="s">
        <v>856</v>
      </c>
      <c r="B270" t="s">
        <v>443</v>
      </c>
      <c r="C270" t="s">
        <v>857</v>
      </c>
      <c r="D270" t="s">
        <v>716</v>
      </c>
      <c r="E270" t="s">
        <v>43</v>
      </c>
      <c r="F270">
        <v>11733</v>
      </c>
      <c r="G270" t="s">
        <v>17</v>
      </c>
      <c r="H270" t="s">
        <v>36</v>
      </c>
      <c r="I270" t="s">
        <v>19</v>
      </c>
      <c r="J270" t="s">
        <v>46</v>
      </c>
      <c r="K270" t="s">
        <v>80</v>
      </c>
      <c r="L270" t="s">
        <v>38</v>
      </c>
    </row>
    <row r="271" spans="1:12" x14ac:dyDescent="0.3">
      <c r="A271" t="s">
        <v>858</v>
      </c>
      <c r="B271" t="s">
        <v>598</v>
      </c>
      <c r="C271" t="s">
        <v>859</v>
      </c>
      <c r="D271" t="s">
        <v>441</v>
      </c>
      <c r="E271" t="s">
        <v>62</v>
      </c>
      <c r="F271">
        <v>1549</v>
      </c>
      <c r="G271" t="s">
        <v>68</v>
      </c>
      <c r="H271" t="s">
        <v>52</v>
      </c>
      <c r="I271" t="s">
        <v>19</v>
      </c>
      <c r="J271" t="s">
        <v>46</v>
      </c>
      <c r="K271" t="s">
        <v>29</v>
      </c>
      <c r="L271" t="s">
        <v>38</v>
      </c>
    </row>
    <row r="272" spans="1:12" x14ac:dyDescent="0.3">
      <c r="A272" t="s">
        <v>860</v>
      </c>
      <c r="B272" t="s">
        <v>612</v>
      </c>
      <c r="C272" t="s">
        <v>861</v>
      </c>
      <c r="D272" t="s">
        <v>862</v>
      </c>
      <c r="E272" t="s">
        <v>51</v>
      </c>
      <c r="F272">
        <v>9175</v>
      </c>
      <c r="G272" t="s">
        <v>68</v>
      </c>
      <c r="H272" t="s">
        <v>18</v>
      </c>
      <c r="I272" t="s">
        <v>28</v>
      </c>
      <c r="J272" t="s">
        <v>20</v>
      </c>
      <c r="K272" t="s">
        <v>21</v>
      </c>
      <c r="L272" t="s">
        <v>38</v>
      </c>
    </row>
    <row r="273" spans="1:12" x14ac:dyDescent="0.3">
      <c r="A273" t="s">
        <v>863</v>
      </c>
      <c r="B273" t="s">
        <v>851</v>
      </c>
      <c r="C273" t="s">
        <v>864</v>
      </c>
      <c r="D273" t="s">
        <v>865</v>
      </c>
      <c r="E273" t="s">
        <v>43</v>
      </c>
      <c r="F273">
        <v>5365</v>
      </c>
      <c r="G273" t="s">
        <v>79</v>
      </c>
      <c r="H273" t="s">
        <v>36</v>
      </c>
      <c r="I273" t="s">
        <v>19</v>
      </c>
      <c r="J273" t="s">
        <v>46</v>
      </c>
      <c r="K273" t="s">
        <v>80</v>
      </c>
      <c r="L273" t="s">
        <v>38</v>
      </c>
    </row>
    <row r="274" spans="1:12" x14ac:dyDescent="0.3">
      <c r="A274" t="s">
        <v>866</v>
      </c>
      <c r="B274" t="s">
        <v>168</v>
      </c>
      <c r="C274" t="s">
        <v>867</v>
      </c>
      <c r="D274" t="s">
        <v>222</v>
      </c>
      <c r="E274" t="s">
        <v>78</v>
      </c>
      <c r="F274">
        <v>2828</v>
      </c>
      <c r="G274" t="s">
        <v>35</v>
      </c>
      <c r="H274" t="s">
        <v>52</v>
      </c>
      <c r="I274" t="s">
        <v>28</v>
      </c>
      <c r="J274" t="s">
        <v>20</v>
      </c>
      <c r="K274" t="s">
        <v>57</v>
      </c>
      <c r="L274" t="s">
        <v>38</v>
      </c>
    </row>
    <row r="275" spans="1:12" x14ac:dyDescent="0.3">
      <c r="A275" t="s">
        <v>868</v>
      </c>
      <c r="B275" t="s">
        <v>869</v>
      </c>
      <c r="C275" t="s">
        <v>715</v>
      </c>
      <c r="D275" t="s">
        <v>228</v>
      </c>
      <c r="E275" t="s">
        <v>62</v>
      </c>
      <c r="F275">
        <v>4571</v>
      </c>
      <c r="G275" t="s">
        <v>35</v>
      </c>
      <c r="H275" t="s">
        <v>18</v>
      </c>
      <c r="I275" t="s">
        <v>28</v>
      </c>
      <c r="J275" t="s">
        <v>46</v>
      </c>
      <c r="K275" t="s">
        <v>37</v>
      </c>
      <c r="L275" t="s">
        <v>38</v>
      </c>
    </row>
    <row r="276" spans="1:12" x14ac:dyDescent="0.3">
      <c r="A276" t="s">
        <v>870</v>
      </c>
      <c r="B276" t="s">
        <v>871</v>
      </c>
      <c r="C276" t="s">
        <v>872</v>
      </c>
      <c r="D276" t="s">
        <v>873</v>
      </c>
      <c r="E276" t="s">
        <v>51</v>
      </c>
      <c r="F276">
        <v>10153</v>
      </c>
      <c r="G276" t="s">
        <v>44</v>
      </c>
      <c r="H276" t="s">
        <v>52</v>
      </c>
      <c r="I276" t="s">
        <v>19</v>
      </c>
      <c r="J276" t="s">
        <v>20</v>
      </c>
      <c r="K276" t="s">
        <v>57</v>
      </c>
      <c r="L276" t="s">
        <v>38</v>
      </c>
    </row>
    <row r="277" spans="1:12" x14ac:dyDescent="0.3">
      <c r="A277" t="s">
        <v>874</v>
      </c>
      <c r="B277" t="s">
        <v>875</v>
      </c>
      <c r="C277" t="s">
        <v>876</v>
      </c>
      <c r="D277" t="s">
        <v>877</v>
      </c>
      <c r="E277" t="s">
        <v>51</v>
      </c>
      <c r="F277">
        <v>14176</v>
      </c>
      <c r="G277" t="s">
        <v>79</v>
      </c>
      <c r="H277" t="s">
        <v>113</v>
      </c>
      <c r="I277" t="s">
        <v>28</v>
      </c>
      <c r="J277" t="s">
        <v>46</v>
      </c>
      <c r="K277" t="s">
        <v>37</v>
      </c>
      <c r="L277" t="s">
        <v>38</v>
      </c>
    </row>
    <row r="278" spans="1:12" x14ac:dyDescent="0.3">
      <c r="A278" t="s">
        <v>878</v>
      </c>
      <c r="B278" t="s">
        <v>879</v>
      </c>
      <c r="C278" t="s">
        <v>880</v>
      </c>
      <c r="D278" t="s">
        <v>258</v>
      </c>
      <c r="E278" t="s">
        <v>51</v>
      </c>
      <c r="F278">
        <v>5197</v>
      </c>
      <c r="G278" t="s">
        <v>17</v>
      </c>
      <c r="H278" t="s">
        <v>85</v>
      </c>
      <c r="I278" t="s">
        <v>19</v>
      </c>
      <c r="J278" t="s">
        <v>46</v>
      </c>
      <c r="K278" t="s">
        <v>37</v>
      </c>
      <c r="L278" t="s">
        <v>38</v>
      </c>
    </row>
    <row r="279" spans="1:12" x14ac:dyDescent="0.3">
      <c r="A279" t="s">
        <v>881</v>
      </c>
      <c r="B279" t="s">
        <v>139</v>
      </c>
      <c r="C279" t="s">
        <v>882</v>
      </c>
      <c r="D279" t="s">
        <v>654</v>
      </c>
      <c r="E279" t="s">
        <v>43</v>
      </c>
      <c r="F279">
        <v>6487</v>
      </c>
      <c r="G279" t="s">
        <v>17</v>
      </c>
      <c r="H279" t="s">
        <v>113</v>
      </c>
      <c r="I279" t="s">
        <v>19</v>
      </c>
      <c r="J279" t="s">
        <v>95</v>
      </c>
      <c r="K279" t="s">
        <v>80</v>
      </c>
      <c r="L279" t="s">
        <v>38</v>
      </c>
    </row>
    <row r="280" spans="1:12" x14ac:dyDescent="0.3">
      <c r="A280" t="s">
        <v>883</v>
      </c>
      <c r="B280" t="s">
        <v>224</v>
      </c>
      <c r="C280" t="s">
        <v>412</v>
      </c>
      <c r="D280" t="s">
        <v>182</v>
      </c>
      <c r="E280" t="s">
        <v>34</v>
      </c>
      <c r="F280">
        <v>4823</v>
      </c>
      <c r="G280" t="s">
        <v>44</v>
      </c>
      <c r="H280" t="s">
        <v>85</v>
      </c>
      <c r="I280" t="s">
        <v>19</v>
      </c>
      <c r="J280" t="s">
        <v>46</v>
      </c>
      <c r="K280" t="s">
        <v>80</v>
      </c>
      <c r="L280" t="s">
        <v>38</v>
      </c>
    </row>
    <row r="281" spans="1:12" x14ac:dyDescent="0.3">
      <c r="A281" t="s">
        <v>884</v>
      </c>
      <c r="B281" t="s">
        <v>695</v>
      </c>
      <c r="C281" t="s">
        <v>663</v>
      </c>
      <c r="D281" t="s">
        <v>885</v>
      </c>
      <c r="E281" t="s">
        <v>34</v>
      </c>
      <c r="F281">
        <v>2575</v>
      </c>
      <c r="G281" t="s">
        <v>17</v>
      </c>
      <c r="H281" t="s">
        <v>85</v>
      </c>
      <c r="I281" t="s">
        <v>28</v>
      </c>
      <c r="J281" t="s">
        <v>46</v>
      </c>
      <c r="K281" t="s">
        <v>21</v>
      </c>
      <c r="L281" t="s">
        <v>38</v>
      </c>
    </row>
    <row r="282" spans="1:12" x14ac:dyDescent="0.3">
      <c r="A282" t="s">
        <v>886</v>
      </c>
      <c r="B282" t="s">
        <v>887</v>
      </c>
      <c r="C282" t="s">
        <v>715</v>
      </c>
      <c r="D282" t="s">
        <v>371</v>
      </c>
      <c r="E282" t="s">
        <v>16</v>
      </c>
      <c r="F282">
        <v>14298</v>
      </c>
      <c r="G282" t="s">
        <v>35</v>
      </c>
      <c r="H282" t="s">
        <v>45</v>
      </c>
      <c r="I282" t="s">
        <v>19</v>
      </c>
      <c r="J282" t="s">
        <v>20</v>
      </c>
      <c r="K282" t="s">
        <v>96</v>
      </c>
      <c r="L282" t="s">
        <v>38</v>
      </c>
    </row>
    <row r="283" spans="1:12" x14ac:dyDescent="0.3">
      <c r="A283" t="s">
        <v>888</v>
      </c>
      <c r="B283" t="s">
        <v>131</v>
      </c>
      <c r="C283" t="s">
        <v>779</v>
      </c>
      <c r="D283" t="s">
        <v>254</v>
      </c>
      <c r="E283" t="s">
        <v>16</v>
      </c>
      <c r="F283">
        <v>2775</v>
      </c>
      <c r="G283" t="s">
        <v>17</v>
      </c>
      <c r="H283" t="s">
        <v>36</v>
      </c>
      <c r="I283" t="s">
        <v>28</v>
      </c>
      <c r="J283" t="s">
        <v>95</v>
      </c>
      <c r="K283" t="s">
        <v>69</v>
      </c>
      <c r="L283" t="s">
        <v>38</v>
      </c>
    </row>
    <row r="284" spans="1:12" x14ac:dyDescent="0.3">
      <c r="A284" t="s">
        <v>889</v>
      </c>
      <c r="B284" t="s">
        <v>542</v>
      </c>
      <c r="C284" t="s">
        <v>721</v>
      </c>
      <c r="D284" t="s">
        <v>890</v>
      </c>
      <c r="E284" t="s">
        <v>16</v>
      </c>
      <c r="F284">
        <v>53913</v>
      </c>
      <c r="G284" t="s">
        <v>63</v>
      </c>
      <c r="H284" t="s">
        <v>45</v>
      </c>
      <c r="I284" t="s">
        <v>28</v>
      </c>
      <c r="J284" t="s">
        <v>20</v>
      </c>
      <c r="K284" t="s">
        <v>57</v>
      </c>
      <c r="L284" t="s">
        <v>22</v>
      </c>
    </row>
    <row r="285" spans="1:12" x14ac:dyDescent="0.3">
      <c r="A285" t="s">
        <v>891</v>
      </c>
      <c r="B285" t="s">
        <v>31</v>
      </c>
      <c r="C285" t="s">
        <v>892</v>
      </c>
      <c r="D285" t="s">
        <v>250</v>
      </c>
      <c r="E285" t="s">
        <v>43</v>
      </c>
      <c r="F285">
        <v>2519</v>
      </c>
      <c r="G285" t="s">
        <v>68</v>
      </c>
      <c r="H285" t="s">
        <v>52</v>
      </c>
      <c r="I285" t="s">
        <v>28</v>
      </c>
      <c r="J285" t="s">
        <v>46</v>
      </c>
      <c r="K285" t="s">
        <v>96</v>
      </c>
      <c r="L285" t="s">
        <v>38</v>
      </c>
    </row>
    <row r="286" spans="1:12" x14ac:dyDescent="0.3">
      <c r="A286" t="s">
        <v>893</v>
      </c>
      <c r="B286" t="s">
        <v>707</v>
      </c>
      <c r="C286" t="s">
        <v>894</v>
      </c>
      <c r="D286" t="s">
        <v>375</v>
      </c>
      <c r="E286" t="s">
        <v>34</v>
      </c>
      <c r="F286">
        <v>5670</v>
      </c>
      <c r="G286" t="s">
        <v>68</v>
      </c>
      <c r="H286" t="s">
        <v>85</v>
      </c>
      <c r="I286" t="s">
        <v>28</v>
      </c>
      <c r="J286" t="s">
        <v>20</v>
      </c>
      <c r="K286" t="s">
        <v>57</v>
      </c>
      <c r="L286" t="s">
        <v>38</v>
      </c>
    </row>
    <row r="287" spans="1:12" x14ac:dyDescent="0.3">
      <c r="A287" t="s">
        <v>895</v>
      </c>
      <c r="B287" t="s">
        <v>563</v>
      </c>
      <c r="C287" t="s">
        <v>896</v>
      </c>
      <c r="D287" t="s">
        <v>897</v>
      </c>
      <c r="E287" t="s">
        <v>43</v>
      </c>
      <c r="F287">
        <v>7462</v>
      </c>
      <c r="G287" t="s">
        <v>44</v>
      </c>
      <c r="H287" t="s">
        <v>18</v>
      </c>
      <c r="I287" t="s">
        <v>19</v>
      </c>
      <c r="J287" t="s">
        <v>46</v>
      </c>
      <c r="K287" t="s">
        <v>69</v>
      </c>
      <c r="L287" t="s">
        <v>38</v>
      </c>
    </row>
    <row r="288" spans="1:12" x14ac:dyDescent="0.3">
      <c r="A288" t="s">
        <v>898</v>
      </c>
      <c r="B288" t="s">
        <v>626</v>
      </c>
      <c r="C288" t="s">
        <v>25</v>
      </c>
      <c r="D288" t="s">
        <v>261</v>
      </c>
      <c r="E288" t="s">
        <v>16</v>
      </c>
      <c r="F288">
        <v>41542</v>
      </c>
      <c r="G288" t="s">
        <v>17</v>
      </c>
      <c r="H288" t="s">
        <v>113</v>
      </c>
      <c r="I288" t="s">
        <v>28</v>
      </c>
      <c r="J288" t="s">
        <v>20</v>
      </c>
      <c r="K288" t="s">
        <v>21</v>
      </c>
      <c r="L288" t="s">
        <v>22</v>
      </c>
    </row>
    <row r="289" spans="1:12" x14ac:dyDescent="0.3">
      <c r="A289" t="s">
        <v>899</v>
      </c>
      <c r="B289" t="s">
        <v>303</v>
      </c>
      <c r="C289" t="s">
        <v>854</v>
      </c>
      <c r="D289" t="s">
        <v>250</v>
      </c>
      <c r="E289" t="s">
        <v>78</v>
      </c>
      <c r="F289">
        <v>6686</v>
      </c>
      <c r="G289" t="s">
        <v>63</v>
      </c>
      <c r="H289" t="s">
        <v>36</v>
      </c>
      <c r="I289" t="s">
        <v>28</v>
      </c>
      <c r="J289" t="s">
        <v>95</v>
      </c>
      <c r="K289" t="s">
        <v>96</v>
      </c>
      <c r="L289" t="s">
        <v>38</v>
      </c>
    </row>
    <row r="290" spans="1:12" x14ac:dyDescent="0.3">
      <c r="A290" t="s">
        <v>900</v>
      </c>
      <c r="B290" t="s">
        <v>901</v>
      </c>
      <c r="C290" t="s">
        <v>902</v>
      </c>
      <c r="D290" t="s">
        <v>903</v>
      </c>
      <c r="E290" t="s">
        <v>51</v>
      </c>
      <c r="F290">
        <v>7415</v>
      </c>
      <c r="G290" t="s">
        <v>63</v>
      </c>
      <c r="H290" t="s">
        <v>27</v>
      </c>
      <c r="I290" t="s">
        <v>19</v>
      </c>
      <c r="J290" t="s">
        <v>20</v>
      </c>
      <c r="K290" t="s">
        <v>37</v>
      </c>
      <c r="L290" t="s">
        <v>38</v>
      </c>
    </row>
    <row r="291" spans="1:12" x14ac:dyDescent="0.3">
      <c r="A291" t="s">
        <v>904</v>
      </c>
      <c r="B291" t="s">
        <v>869</v>
      </c>
      <c r="C291" t="s">
        <v>905</v>
      </c>
      <c r="D291" t="s">
        <v>170</v>
      </c>
      <c r="E291" t="s">
        <v>62</v>
      </c>
      <c r="F291">
        <v>13149</v>
      </c>
      <c r="G291" t="s">
        <v>63</v>
      </c>
      <c r="H291" t="s">
        <v>85</v>
      </c>
      <c r="I291" t="s">
        <v>19</v>
      </c>
      <c r="J291" t="s">
        <v>46</v>
      </c>
      <c r="K291" t="s">
        <v>37</v>
      </c>
      <c r="L291" t="s">
        <v>38</v>
      </c>
    </row>
    <row r="292" spans="1:12" x14ac:dyDescent="0.3">
      <c r="A292" t="s">
        <v>906</v>
      </c>
      <c r="B292" t="s">
        <v>463</v>
      </c>
      <c r="C292" t="s">
        <v>907</v>
      </c>
      <c r="D292" t="s">
        <v>908</v>
      </c>
      <c r="E292" t="s">
        <v>16</v>
      </c>
      <c r="F292">
        <v>10521</v>
      </c>
      <c r="G292" t="s">
        <v>44</v>
      </c>
      <c r="H292" t="s">
        <v>36</v>
      </c>
      <c r="I292" t="s">
        <v>19</v>
      </c>
      <c r="J292" t="s">
        <v>46</v>
      </c>
      <c r="K292" t="s">
        <v>37</v>
      </c>
      <c r="L292" t="s">
        <v>38</v>
      </c>
    </row>
    <row r="293" spans="1:12" x14ac:dyDescent="0.3">
      <c r="A293" t="s">
        <v>909</v>
      </c>
      <c r="B293" t="s">
        <v>423</v>
      </c>
      <c r="C293" t="s">
        <v>910</v>
      </c>
      <c r="D293" t="s">
        <v>467</v>
      </c>
      <c r="E293" t="s">
        <v>16</v>
      </c>
      <c r="F293">
        <v>13382</v>
      </c>
      <c r="G293" t="s">
        <v>35</v>
      </c>
      <c r="H293" t="s">
        <v>113</v>
      </c>
      <c r="I293" t="s">
        <v>28</v>
      </c>
      <c r="J293" t="s">
        <v>95</v>
      </c>
      <c r="K293" t="s">
        <v>96</v>
      </c>
      <c r="L293" t="s">
        <v>38</v>
      </c>
    </row>
    <row r="294" spans="1:12" x14ac:dyDescent="0.3">
      <c r="A294" t="s">
        <v>911</v>
      </c>
      <c r="B294" t="s">
        <v>912</v>
      </c>
      <c r="C294" t="s">
        <v>913</v>
      </c>
      <c r="D294" t="s">
        <v>427</v>
      </c>
      <c r="E294" t="s">
        <v>16</v>
      </c>
      <c r="F294">
        <v>68929</v>
      </c>
      <c r="G294" t="s">
        <v>35</v>
      </c>
      <c r="H294" t="s">
        <v>113</v>
      </c>
      <c r="I294" t="s">
        <v>28</v>
      </c>
      <c r="J294" t="s">
        <v>46</v>
      </c>
      <c r="K294" t="s">
        <v>57</v>
      </c>
      <c r="L294" t="s">
        <v>22</v>
      </c>
    </row>
    <row r="295" spans="1:12" x14ac:dyDescent="0.3">
      <c r="A295" t="s">
        <v>914</v>
      </c>
      <c r="B295" t="s">
        <v>411</v>
      </c>
      <c r="C295" t="s">
        <v>915</v>
      </c>
      <c r="D295" t="s">
        <v>916</v>
      </c>
      <c r="E295" t="s">
        <v>16</v>
      </c>
      <c r="F295">
        <v>11411</v>
      </c>
      <c r="G295" t="s">
        <v>44</v>
      </c>
      <c r="H295" t="s">
        <v>52</v>
      </c>
      <c r="I295" t="s">
        <v>19</v>
      </c>
      <c r="J295" t="s">
        <v>20</v>
      </c>
      <c r="K295" t="s">
        <v>29</v>
      </c>
      <c r="L295" t="s">
        <v>38</v>
      </c>
    </row>
    <row r="296" spans="1:12" x14ac:dyDescent="0.3">
      <c r="A296" t="s">
        <v>917</v>
      </c>
      <c r="B296" t="s">
        <v>665</v>
      </c>
      <c r="C296" t="s">
        <v>660</v>
      </c>
      <c r="D296" t="s">
        <v>375</v>
      </c>
      <c r="E296" t="s">
        <v>43</v>
      </c>
      <c r="F296">
        <v>14230</v>
      </c>
      <c r="G296" t="s">
        <v>79</v>
      </c>
      <c r="H296" t="s">
        <v>27</v>
      </c>
      <c r="I296" t="s">
        <v>28</v>
      </c>
      <c r="J296" t="s">
        <v>46</v>
      </c>
      <c r="K296" t="s">
        <v>21</v>
      </c>
      <c r="L296" t="s">
        <v>38</v>
      </c>
    </row>
    <row r="297" spans="1:12" x14ac:dyDescent="0.3">
      <c r="A297" t="s">
        <v>918</v>
      </c>
      <c r="B297" t="s">
        <v>237</v>
      </c>
      <c r="C297" t="s">
        <v>919</v>
      </c>
      <c r="D297" t="s">
        <v>920</v>
      </c>
      <c r="E297" t="s">
        <v>51</v>
      </c>
      <c r="F297">
        <v>11268</v>
      </c>
      <c r="G297" t="s">
        <v>68</v>
      </c>
      <c r="H297" t="s">
        <v>85</v>
      </c>
      <c r="I297" t="s">
        <v>28</v>
      </c>
      <c r="J297" t="s">
        <v>95</v>
      </c>
      <c r="K297" t="s">
        <v>29</v>
      </c>
      <c r="L297" t="s">
        <v>38</v>
      </c>
    </row>
    <row r="298" spans="1:12" x14ac:dyDescent="0.3">
      <c r="A298" t="s">
        <v>921</v>
      </c>
      <c r="B298" t="s">
        <v>922</v>
      </c>
      <c r="C298" t="s">
        <v>923</v>
      </c>
      <c r="D298" t="s">
        <v>196</v>
      </c>
      <c r="E298" t="s">
        <v>16</v>
      </c>
      <c r="F298">
        <v>48905</v>
      </c>
      <c r="G298" t="s">
        <v>17</v>
      </c>
      <c r="H298" t="s">
        <v>27</v>
      </c>
      <c r="I298" t="s">
        <v>28</v>
      </c>
      <c r="J298" t="s">
        <v>20</v>
      </c>
      <c r="K298" t="s">
        <v>29</v>
      </c>
      <c r="L298" t="s">
        <v>22</v>
      </c>
    </row>
    <row r="299" spans="1:12" x14ac:dyDescent="0.3">
      <c r="A299" t="s">
        <v>924</v>
      </c>
      <c r="B299" t="s">
        <v>922</v>
      </c>
      <c r="C299" t="s">
        <v>925</v>
      </c>
      <c r="D299" t="s">
        <v>775</v>
      </c>
      <c r="E299" t="s">
        <v>16</v>
      </c>
      <c r="F299">
        <v>12598</v>
      </c>
      <c r="G299" t="s">
        <v>79</v>
      </c>
      <c r="H299" t="s">
        <v>18</v>
      </c>
      <c r="I299" t="s">
        <v>28</v>
      </c>
      <c r="J299" t="s">
        <v>95</v>
      </c>
      <c r="K299" t="s">
        <v>69</v>
      </c>
      <c r="L299" t="s">
        <v>38</v>
      </c>
    </row>
    <row r="300" spans="1:12" x14ac:dyDescent="0.3">
      <c r="A300" t="s">
        <v>926</v>
      </c>
      <c r="B300" t="s">
        <v>446</v>
      </c>
      <c r="C300" t="s">
        <v>927</v>
      </c>
      <c r="D300" t="s">
        <v>149</v>
      </c>
      <c r="E300" t="s">
        <v>34</v>
      </c>
      <c r="F300">
        <v>12449</v>
      </c>
      <c r="G300" t="s">
        <v>63</v>
      </c>
      <c r="H300" t="s">
        <v>27</v>
      </c>
      <c r="I300" t="s">
        <v>28</v>
      </c>
      <c r="J300" t="s">
        <v>95</v>
      </c>
      <c r="K300" t="s">
        <v>96</v>
      </c>
      <c r="L300" t="s">
        <v>38</v>
      </c>
    </row>
    <row r="301" spans="1:12" x14ac:dyDescent="0.3">
      <c r="A301" t="s">
        <v>928</v>
      </c>
      <c r="B301" t="s">
        <v>237</v>
      </c>
      <c r="C301" t="s">
        <v>929</v>
      </c>
      <c r="D301" t="s">
        <v>690</v>
      </c>
      <c r="E301" t="s">
        <v>51</v>
      </c>
      <c r="F301">
        <v>4927</v>
      </c>
      <c r="G301" t="s">
        <v>68</v>
      </c>
      <c r="H301" t="s">
        <v>18</v>
      </c>
      <c r="I301" t="s">
        <v>28</v>
      </c>
      <c r="J301" t="s">
        <v>46</v>
      </c>
      <c r="K301" t="s">
        <v>69</v>
      </c>
      <c r="L301" t="s">
        <v>38</v>
      </c>
    </row>
    <row r="302" spans="1:12" x14ac:dyDescent="0.3">
      <c r="A302" t="s">
        <v>930</v>
      </c>
      <c r="B302" t="s">
        <v>478</v>
      </c>
      <c r="C302" t="s">
        <v>931</v>
      </c>
      <c r="D302" t="s">
        <v>631</v>
      </c>
      <c r="E302" t="s">
        <v>34</v>
      </c>
      <c r="F302">
        <v>12135</v>
      </c>
      <c r="G302" t="s">
        <v>35</v>
      </c>
      <c r="H302" t="s">
        <v>36</v>
      </c>
      <c r="I302" t="s">
        <v>19</v>
      </c>
      <c r="J302" t="s">
        <v>95</v>
      </c>
      <c r="K302" t="s">
        <v>21</v>
      </c>
      <c r="L302" t="s">
        <v>38</v>
      </c>
    </row>
    <row r="303" spans="1:12" x14ac:dyDescent="0.3">
      <c r="A303" t="s">
        <v>932</v>
      </c>
      <c r="B303" t="s">
        <v>933</v>
      </c>
      <c r="C303" t="s">
        <v>934</v>
      </c>
      <c r="D303" t="s">
        <v>651</v>
      </c>
      <c r="E303" t="s">
        <v>16</v>
      </c>
      <c r="F303">
        <v>13246</v>
      </c>
      <c r="G303" t="s">
        <v>63</v>
      </c>
      <c r="H303" t="s">
        <v>52</v>
      </c>
      <c r="I303" t="s">
        <v>19</v>
      </c>
      <c r="J303" t="s">
        <v>46</v>
      </c>
      <c r="K303" t="s">
        <v>37</v>
      </c>
      <c r="L303" t="s">
        <v>38</v>
      </c>
    </row>
    <row r="304" spans="1:12" x14ac:dyDescent="0.3">
      <c r="A304" t="s">
        <v>935</v>
      </c>
      <c r="B304" t="s">
        <v>678</v>
      </c>
      <c r="C304" t="s">
        <v>936</v>
      </c>
      <c r="D304" t="s">
        <v>391</v>
      </c>
      <c r="E304" t="s">
        <v>94</v>
      </c>
      <c r="F304">
        <v>4430</v>
      </c>
      <c r="G304" t="s">
        <v>63</v>
      </c>
      <c r="H304" t="s">
        <v>36</v>
      </c>
      <c r="I304" t="s">
        <v>19</v>
      </c>
      <c r="J304" t="s">
        <v>20</v>
      </c>
      <c r="K304" t="s">
        <v>37</v>
      </c>
      <c r="L304" t="s">
        <v>38</v>
      </c>
    </row>
    <row r="305" spans="1:12" x14ac:dyDescent="0.3">
      <c r="A305" t="s">
        <v>937</v>
      </c>
      <c r="B305" t="s">
        <v>266</v>
      </c>
      <c r="C305" t="s">
        <v>938</v>
      </c>
      <c r="D305" t="s">
        <v>235</v>
      </c>
      <c r="E305" t="s">
        <v>78</v>
      </c>
      <c r="F305">
        <v>2224</v>
      </c>
      <c r="G305" t="s">
        <v>35</v>
      </c>
      <c r="H305" t="s">
        <v>27</v>
      </c>
      <c r="I305" t="s">
        <v>28</v>
      </c>
      <c r="J305" t="s">
        <v>95</v>
      </c>
      <c r="K305" t="s">
        <v>57</v>
      </c>
      <c r="L305" t="s">
        <v>38</v>
      </c>
    </row>
    <row r="306" spans="1:12" x14ac:dyDescent="0.3">
      <c r="A306" t="s">
        <v>939</v>
      </c>
      <c r="B306" t="s">
        <v>609</v>
      </c>
      <c r="C306" t="s">
        <v>663</v>
      </c>
      <c r="D306" t="s">
        <v>170</v>
      </c>
      <c r="E306" t="s">
        <v>51</v>
      </c>
      <c r="F306">
        <v>10336</v>
      </c>
      <c r="G306" t="s">
        <v>63</v>
      </c>
      <c r="H306" t="s">
        <v>18</v>
      </c>
      <c r="I306" t="s">
        <v>28</v>
      </c>
      <c r="J306" t="s">
        <v>46</v>
      </c>
      <c r="K306" t="s">
        <v>21</v>
      </c>
      <c r="L306" t="s">
        <v>38</v>
      </c>
    </row>
    <row r="307" spans="1:12" x14ac:dyDescent="0.3">
      <c r="A307" t="s">
        <v>940</v>
      </c>
      <c r="B307" t="s">
        <v>139</v>
      </c>
      <c r="C307" t="s">
        <v>941</v>
      </c>
      <c r="D307" t="s">
        <v>942</v>
      </c>
      <c r="E307" t="s">
        <v>51</v>
      </c>
      <c r="F307">
        <v>14423</v>
      </c>
      <c r="G307" t="s">
        <v>17</v>
      </c>
      <c r="H307" t="s">
        <v>105</v>
      </c>
      <c r="I307" t="s">
        <v>19</v>
      </c>
      <c r="J307" t="s">
        <v>46</v>
      </c>
      <c r="K307" t="s">
        <v>80</v>
      </c>
      <c r="L307" t="s">
        <v>38</v>
      </c>
    </row>
    <row r="308" spans="1:12" x14ac:dyDescent="0.3">
      <c r="A308" t="s">
        <v>943</v>
      </c>
      <c r="B308" t="s">
        <v>515</v>
      </c>
      <c r="C308" t="s">
        <v>944</v>
      </c>
      <c r="D308" t="s">
        <v>945</v>
      </c>
      <c r="E308" t="s">
        <v>34</v>
      </c>
      <c r="F308">
        <v>5919</v>
      </c>
      <c r="G308" t="s">
        <v>35</v>
      </c>
      <c r="H308" t="s">
        <v>27</v>
      </c>
      <c r="I308" t="s">
        <v>28</v>
      </c>
      <c r="J308" t="s">
        <v>95</v>
      </c>
      <c r="K308" t="s">
        <v>69</v>
      </c>
      <c r="L308" t="s">
        <v>38</v>
      </c>
    </row>
    <row r="309" spans="1:12" x14ac:dyDescent="0.3">
      <c r="A309" t="s">
        <v>946</v>
      </c>
      <c r="B309" t="s">
        <v>550</v>
      </c>
      <c r="C309" t="s">
        <v>504</v>
      </c>
      <c r="D309" t="s">
        <v>947</v>
      </c>
      <c r="E309" t="s">
        <v>62</v>
      </c>
      <c r="F309">
        <v>13621</v>
      </c>
      <c r="G309" t="s">
        <v>44</v>
      </c>
      <c r="H309" t="s">
        <v>113</v>
      </c>
      <c r="I309" t="s">
        <v>28</v>
      </c>
      <c r="J309" t="s">
        <v>95</v>
      </c>
      <c r="K309" t="s">
        <v>69</v>
      </c>
      <c r="L309" t="s">
        <v>38</v>
      </c>
    </row>
    <row r="310" spans="1:12" x14ac:dyDescent="0.3">
      <c r="A310" t="s">
        <v>948</v>
      </c>
      <c r="B310" t="s">
        <v>949</v>
      </c>
      <c r="C310" t="s">
        <v>950</v>
      </c>
      <c r="D310" t="s">
        <v>951</v>
      </c>
      <c r="E310" t="s">
        <v>94</v>
      </c>
      <c r="F310">
        <v>802</v>
      </c>
      <c r="G310" t="s">
        <v>17</v>
      </c>
      <c r="H310" t="s">
        <v>18</v>
      </c>
      <c r="I310" t="s">
        <v>19</v>
      </c>
      <c r="J310" t="s">
        <v>46</v>
      </c>
      <c r="K310" t="s">
        <v>57</v>
      </c>
      <c r="L310" t="s">
        <v>38</v>
      </c>
    </row>
    <row r="311" spans="1:12" x14ac:dyDescent="0.3">
      <c r="A311" t="s">
        <v>952</v>
      </c>
      <c r="B311" t="s">
        <v>781</v>
      </c>
      <c r="C311" t="s">
        <v>953</v>
      </c>
      <c r="D311" t="s">
        <v>954</v>
      </c>
      <c r="E311" t="s">
        <v>94</v>
      </c>
      <c r="F311">
        <v>7059</v>
      </c>
      <c r="G311" t="s">
        <v>44</v>
      </c>
      <c r="H311" t="s">
        <v>52</v>
      </c>
      <c r="I311" t="s">
        <v>19</v>
      </c>
      <c r="J311" t="s">
        <v>20</v>
      </c>
      <c r="K311" t="s">
        <v>69</v>
      </c>
      <c r="L311" t="s">
        <v>38</v>
      </c>
    </row>
    <row r="312" spans="1:12" x14ac:dyDescent="0.3">
      <c r="A312" t="s">
        <v>955</v>
      </c>
      <c r="B312" t="s">
        <v>180</v>
      </c>
      <c r="C312" t="s">
        <v>956</v>
      </c>
      <c r="D312" t="s">
        <v>335</v>
      </c>
      <c r="E312" t="s">
        <v>62</v>
      </c>
      <c r="F312">
        <v>4152</v>
      </c>
      <c r="G312" t="s">
        <v>63</v>
      </c>
      <c r="H312" t="s">
        <v>113</v>
      </c>
      <c r="I312" t="s">
        <v>19</v>
      </c>
      <c r="J312" t="s">
        <v>95</v>
      </c>
      <c r="K312" t="s">
        <v>57</v>
      </c>
      <c r="L312" t="s">
        <v>38</v>
      </c>
    </row>
    <row r="313" spans="1:12" x14ac:dyDescent="0.3">
      <c r="A313" t="s">
        <v>957</v>
      </c>
      <c r="B313" t="s">
        <v>912</v>
      </c>
      <c r="C313" t="s">
        <v>958</v>
      </c>
      <c r="D313" t="s">
        <v>517</v>
      </c>
      <c r="E313" t="s">
        <v>51</v>
      </c>
      <c r="F313">
        <v>12423</v>
      </c>
      <c r="G313" t="s">
        <v>17</v>
      </c>
      <c r="H313" t="s">
        <v>18</v>
      </c>
      <c r="I313" t="s">
        <v>19</v>
      </c>
      <c r="J313" t="s">
        <v>95</v>
      </c>
      <c r="K313" t="s">
        <v>29</v>
      </c>
      <c r="L313" t="s">
        <v>38</v>
      </c>
    </row>
    <row r="314" spans="1:12" x14ac:dyDescent="0.3">
      <c r="A314" t="s">
        <v>959</v>
      </c>
      <c r="B314" t="s">
        <v>960</v>
      </c>
      <c r="C314" t="s">
        <v>961</v>
      </c>
      <c r="D314" t="s">
        <v>250</v>
      </c>
      <c r="E314" t="s">
        <v>16</v>
      </c>
      <c r="F314">
        <v>49647</v>
      </c>
      <c r="G314" t="s">
        <v>68</v>
      </c>
      <c r="H314" t="s">
        <v>105</v>
      </c>
      <c r="I314" t="s">
        <v>28</v>
      </c>
      <c r="J314" t="s">
        <v>46</v>
      </c>
      <c r="K314" t="s">
        <v>69</v>
      </c>
      <c r="L314" t="s">
        <v>22</v>
      </c>
    </row>
    <row r="315" spans="1:12" x14ac:dyDescent="0.3">
      <c r="A315" t="s">
        <v>962</v>
      </c>
      <c r="B315" t="s">
        <v>115</v>
      </c>
      <c r="C315" t="s">
        <v>963</v>
      </c>
      <c r="D315" t="s">
        <v>481</v>
      </c>
      <c r="E315" t="s">
        <v>78</v>
      </c>
      <c r="F315">
        <v>7876</v>
      </c>
      <c r="G315" t="s">
        <v>44</v>
      </c>
      <c r="H315" t="s">
        <v>18</v>
      </c>
      <c r="I315" t="s">
        <v>19</v>
      </c>
      <c r="J315" t="s">
        <v>46</v>
      </c>
      <c r="K315" t="s">
        <v>37</v>
      </c>
      <c r="L315" t="s">
        <v>38</v>
      </c>
    </row>
    <row r="316" spans="1:12" x14ac:dyDescent="0.3">
      <c r="A316" t="s">
        <v>964</v>
      </c>
      <c r="B316" t="s">
        <v>172</v>
      </c>
      <c r="C316" t="s">
        <v>965</v>
      </c>
      <c r="D316" t="s">
        <v>873</v>
      </c>
      <c r="E316" t="s">
        <v>16</v>
      </c>
      <c r="F316">
        <v>37451</v>
      </c>
      <c r="G316" t="s">
        <v>44</v>
      </c>
      <c r="H316" t="s">
        <v>105</v>
      </c>
      <c r="I316" t="s">
        <v>19</v>
      </c>
      <c r="J316" t="s">
        <v>20</v>
      </c>
      <c r="K316" t="s">
        <v>57</v>
      </c>
      <c r="L316" t="s">
        <v>22</v>
      </c>
    </row>
    <row r="317" spans="1:12" x14ac:dyDescent="0.3">
      <c r="A317" t="s">
        <v>966</v>
      </c>
      <c r="B317" t="s">
        <v>127</v>
      </c>
      <c r="C317" t="s">
        <v>967</v>
      </c>
      <c r="D317" t="s">
        <v>320</v>
      </c>
      <c r="E317" t="s">
        <v>16</v>
      </c>
      <c r="F317">
        <v>2530</v>
      </c>
      <c r="G317" t="s">
        <v>35</v>
      </c>
      <c r="H317" t="s">
        <v>27</v>
      </c>
      <c r="I317" t="s">
        <v>19</v>
      </c>
      <c r="J317" t="s">
        <v>95</v>
      </c>
      <c r="K317" t="s">
        <v>96</v>
      </c>
      <c r="L317" t="s">
        <v>38</v>
      </c>
    </row>
    <row r="318" spans="1:12" x14ac:dyDescent="0.3">
      <c r="A318" t="s">
        <v>968</v>
      </c>
      <c r="B318" t="s">
        <v>969</v>
      </c>
      <c r="C318" t="s">
        <v>970</v>
      </c>
      <c r="D318" t="s">
        <v>108</v>
      </c>
      <c r="E318" t="s">
        <v>51</v>
      </c>
      <c r="F318">
        <v>6341</v>
      </c>
      <c r="G318" t="s">
        <v>63</v>
      </c>
      <c r="H318" t="s">
        <v>113</v>
      </c>
      <c r="I318" t="s">
        <v>19</v>
      </c>
      <c r="J318" t="s">
        <v>46</v>
      </c>
      <c r="K318" t="s">
        <v>37</v>
      </c>
      <c r="L318" t="s">
        <v>38</v>
      </c>
    </row>
    <row r="319" spans="1:12" x14ac:dyDescent="0.3">
      <c r="A319" t="s">
        <v>971</v>
      </c>
      <c r="B319" t="s">
        <v>309</v>
      </c>
      <c r="C319" t="s">
        <v>287</v>
      </c>
      <c r="D319" t="s">
        <v>196</v>
      </c>
      <c r="E319" t="s">
        <v>34</v>
      </c>
      <c r="F319">
        <v>9896</v>
      </c>
      <c r="G319" t="s">
        <v>79</v>
      </c>
      <c r="H319" t="s">
        <v>52</v>
      </c>
      <c r="I319" t="s">
        <v>19</v>
      </c>
      <c r="J319" t="s">
        <v>95</v>
      </c>
      <c r="K319" t="s">
        <v>21</v>
      </c>
      <c r="L319" t="s">
        <v>38</v>
      </c>
    </row>
    <row r="320" spans="1:12" x14ac:dyDescent="0.3">
      <c r="A320" t="s">
        <v>972</v>
      </c>
      <c r="B320" t="s">
        <v>209</v>
      </c>
      <c r="C320" t="s">
        <v>583</v>
      </c>
      <c r="D320" t="s">
        <v>617</v>
      </c>
      <c r="E320" t="s">
        <v>94</v>
      </c>
      <c r="F320">
        <v>6468</v>
      </c>
      <c r="G320" t="s">
        <v>68</v>
      </c>
      <c r="H320" t="s">
        <v>27</v>
      </c>
      <c r="I320" t="s">
        <v>28</v>
      </c>
      <c r="J320" t="s">
        <v>20</v>
      </c>
      <c r="K320" t="s">
        <v>57</v>
      </c>
      <c r="L320" t="s">
        <v>38</v>
      </c>
    </row>
    <row r="321" spans="1:12" x14ac:dyDescent="0.3">
      <c r="A321" t="s">
        <v>973</v>
      </c>
      <c r="B321" t="s">
        <v>695</v>
      </c>
      <c r="C321" t="s">
        <v>974</v>
      </c>
      <c r="D321" t="s">
        <v>744</v>
      </c>
      <c r="E321" t="s">
        <v>16</v>
      </c>
      <c r="F321">
        <v>9780</v>
      </c>
      <c r="G321" t="s">
        <v>79</v>
      </c>
      <c r="H321" t="s">
        <v>45</v>
      </c>
      <c r="I321" t="s">
        <v>19</v>
      </c>
      <c r="J321" t="s">
        <v>20</v>
      </c>
      <c r="K321" t="s">
        <v>57</v>
      </c>
      <c r="L321" t="s">
        <v>38</v>
      </c>
    </row>
    <row r="322" spans="1:12" x14ac:dyDescent="0.3">
      <c r="A322" t="s">
        <v>975</v>
      </c>
      <c r="B322" t="s">
        <v>256</v>
      </c>
      <c r="C322" t="s">
        <v>976</v>
      </c>
      <c r="D322" t="s">
        <v>33</v>
      </c>
      <c r="E322" t="s">
        <v>34</v>
      </c>
      <c r="F322">
        <v>11239</v>
      </c>
      <c r="G322" t="s">
        <v>68</v>
      </c>
      <c r="H322" t="s">
        <v>18</v>
      </c>
      <c r="I322" t="s">
        <v>19</v>
      </c>
      <c r="J322" t="s">
        <v>46</v>
      </c>
      <c r="K322" t="s">
        <v>21</v>
      </c>
      <c r="L322" t="s">
        <v>38</v>
      </c>
    </row>
    <row r="323" spans="1:12" x14ac:dyDescent="0.3">
      <c r="A323" t="s">
        <v>977</v>
      </c>
      <c r="B323" t="s">
        <v>755</v>
      </c>
      <c r="C323" t="s">
        <v>624</v>
      </c>
      <c r="D323" t="s">
        <v>121</v>
      </c>
      <c r="E323" t="s">
        <v>34</v>
      </c>
      <c r="F323">
        <v>702</v>
      </c>
      <c r="G323" t="s">
        <v>63</v>
      </c>
      <c r="H323" t="s">
        <v>52</v>
      </c>
      <c r="I323" t="s">
        <v>28</v>
      </c>
      <c r="J323" t="s">
        <v>46</v>
      </c>
      <c r="K323" t="s">
        <v>57</v>
      </c>
      <c r="L323" t="s">
        <v>38</v>
      </c>
    </row>
    <row r="324" spans="1:12" x14ac:dyDescent="0.3">
      <c r="A324" t="s">
        <v>978</v>
      </c>
      <c r="B324" t="s">
        <v>370</v>
      </c>
      <c r="C324" t="s">
        <v>979</v>
      </c>
      <c r="D324" t="s">
        <v>980</v>
      </c>
      <c r="E324" t="s">
        <v>16</v>
      </c>
      <c r="F324">
        <v>40012</v>
      </c>
      <c r="G324" t="s">
        <v>35</v>
      </c>
      <c r="H324" t="s">
        <v>18</v>
      </c>
      <c r="I324" t="s">
        <v>19</v>
      </c>
      <c r="J324" t="s">
        <v>20</v>
      </c>
      <c r="K324" t="s">
        <v>69</v>
      </c>
      <c r="L324" t="s">
        <v>22</v>
      </c>
    </row>
    <row r="325" spans="1:12" x14ac:dyDescent="0.3">
      <c r="A325" t="s">
        <v>981</v>
      </c>
      <c r="B325" t="s">
        <v>739</v>
      </c>
      <c r="C325" t="s">
        <v>982</v>
      </c>
      <c r="D325" t="s">
        <v>93</v>
      </c>
      <c r="E325" t="s">
        <v>62</v>
      </c>
      <c r="F325">
        <v>9658</v>
      </c>
      <c r="G325" t="s">
        <v>68</v>
      </c>
      <c r="H325" t="s">
        <v>27</v>
      </c>
      <c r="I325" t="s">
        <v>19</v>
      </c>
      <c r="J325" t="s">
        <v>95</v>
      </c>
      <c r="K325" t="s">
        <v>29</v>
      </c>
      <c r="L325" t="s">
        <v>38</v>
      </c>
    </row>
    <row r="326" spans="1:12" x14ac:dyDescent="0.3">
      <c r="A326" t="s">
        <v>983</v>
      </c>
      <c r="B326" t="s">
        <v>98</v>
      </c>
      <c r="C326" t="s">
        <v>984</v>
      </c>
      <c r="D326" t="s">
        <v>327</v>
      </c>
      <c r="E326" t="s">
        <v>16</v>
      </c>
      <c r="F326">
        <v>27212</v>
      </c>
      <c r="G326" t="s">
        <v>68</v>
      </c>
      <c r="H326" t="s">
        <v>105</v>
      </c>
      <c r="I326" t="s">
        <v>19</v>
      </c>
      <c r="J326" t="s">
        <v>20</v>
      </c>
      <c r="K326" t="s">
        <v>80</v>
      </c>
      <c r="L326" t="s">
        <v>22</v>
      </c>
    </row>
    <row r="327" spans="1:12" x14ac:dyDescent="0.3">
      <c r="A327" t="s">
        <v>985</v>
      </c>
      <c r="B327" t="s">
        <v>845</v>
      </c>
      <c r="C327" t="s">
        <v>986</v>
      </c>
      <c r="D327" t="s">
        <v>215</v>
      </c>
      <c r="E327" t="s">
        <v>16</v>
      </c>
      <c r="F327">
        <v>5730</v>
      </c>
      <c r="G327" t="s">
        <v>63</v>
      </c>
      <c r="H327" t="s">
        <v>113</v>
      </c>
      <c r="I327" t="s">
        <v>28</v>
      </c>
      <c r="J327" t="s">
        <v>95</v>
      </c>
      <c r="K327" t="s">
        <v>29</v>
      </c>
      <c r="L327" t="s">
        <v>38</v>
      </c>
    </row>
    <row r="328" spans="1:12" x14ac:dyDescent="0.3">
      <c r="A328" t="s">
        <v>987</v>
      </c>
      <c r="B328" t="s">
        <v>633</v>
      </c>
      <c r="C328" t="s">
        <v>988</v>
      </c>
      <c r="D328" t="s">
        <v>467</v>
      </c>
      <c r="E328" t="s">
        <v>62</v>
      </c>
      <c r="F328">
        <v>1984</v>
      </c>
      <c r="G328" t="s">
        <v>79</v>
      </c>
      <c r="H328" t="s">
        <v>18</v>
      </c>
      <c r="I328" t="s">
        <v>28</v>
      </c>
      <c r="J328" t="s">
        <v>46</v>
      </c>
      <c r="K328" t="s">
        <v>80</v>
      </c>
      <c r="L328" t="s">
        <v>38</v>
      </c>
    </row>
    <row r="329" spans="1:12" x14ac:dyDescent="0.3">
      <c r="A329" t="s">
        <v>989</v>
      </c>
      <c r="B329" t="s">
        <v>871</v>
      </c>
      <c r="C329" t="s">
        <v>990</v>
      </c>
      <c r="D329" t="s">
        <v>991</v>
      </c>
      <c r="E329" t="s">
        <v>16</v>
      </c>
      <c r="F329">
        <v>79663</v>
      </c>
      <c r="G329" t="s">
        <v>35</v>
      </c>
      <c r="H329" t="s">
        <v>85</v>
      </c>
      <c r="I329" t="s">
        <v>19</v>
      </c>
      <c r="J329" t="s">
        <v>46</v>
      </c>
      <c r="K329" t="s">
        <v>37</v>
      </c>
      <c r="L329" t="s">
        <v>22</v>
      </c>
    </row>
    <row r="330" spans="1:12" x14ac:dyDescent="0.3">
      <c r="A330" t="s">
        <v>992</v>
      </c>
      <c r="B330" t="s">
        <v>993</v>
      </c>
      <c r="C330" t="s">
        <v>994</v>
      </c>
      <c r="D330" t="s">
        <v>409</v>
      </c>
      <c r="E330" t="s">
        <v>78</v>
      </c>
      <c r="F330">
        <v>14701</v>
      </c>
      <c r="G330" t="s">
        <v>68</v>
      </c>
      <c r="H330" t="s">
        <v>105</v>
      </c>
      <c r="I330" t="s">
        <v>19</v>
      </c>
      <c r="J330" t="s">
        <v>95</v>
      </c>
      <c r="K330" t="s">
        <v>69</v>
      </c>
      <c r="L330" t="s">
        <v>38</v>
      </c>
    </row>
    <row r="331" spans="1:12" x14ac:dyDescent="0.3">
      <c r="A331" t="s">
        <v>995</v>
      </c>
      <c r="B331" t="s">
        <v>168</v>
      </c>
      <c r="C331" t="s">
        <v>996</v>
      </c>
      <c r="D331" t="s">
        <v>117</v>
      </c>
      <c r="E331" t="s">
        <v>16</v>
      </c>
      <c r="F331">
        <v>67707</v>
      </c>
      <c r="G331" t="s">
        <v>44</v>
      </c>
      <c r="H331" t="s">
        <v>105</v>
      </c>
      <c r="I331" t="s">
        <v>28</v>
      </c>
      <c r="J331" t="s">
        <v>20</v>
      </c>
      <c r="K331" t="s">
        <v>29</v>
      </c>
      <c r="L331" t="s">
        <v>22</v>
      </c>
    </row>
    <row r="332" spans="1:12" x14ac:dyDescent="0.3">
      <c r="A332" t="s">
        <v>997</v>
      </c>
      <c r="B332" t="s">
        <v>190</v>
      </c>
      <c r="C332" t="s">
        <v>998</v>
      </c>
      <c r="D332" t="s">
        <v>999</v>
      </c>
      <c r="E332" t="s">
        <v>62</v>
      </c>
      <c r="F332">
        <v>11851</v>
      </c>
      <c r="G332" t="s">
        <v>63</v>
      </c>
      <c r="H332" t="s">
        <v>45</v>
      </c>
      <c r="I332" t="s">
        <v>19</v>
      </c>
      <c r="J332" t="s">
        <v>20</v>
      </c>
      <c r="K332" t="s">
        <v>21</v>
      </c>
      <c r="L332" t="s">
        <v>38</v>
      </c>
    </row>
    <row r="333" spans="1:12" x14ac:dyDescent="0.3">
      <c r="A333" t="s">
        <v>1000</v>
      </c>
      <c r="B333" t="s">
        <v>377</v>
      </c>
      <c r="C333" t="s">
        <v>1001</v>
      </c>
      <c r="D333" t="s">
        <v>335</v>
      </c>
      <c r="E333" t="s">
        <v>43</v>
      </c>
      <c r="F333">
        <v>13228</v>
      </c>
      <c r="G333" t="s">
        <v>44</v>
      </c>
      <c r="H333" t="s">
        <v>85</v>
      </c>
      <c r="I333" t="s">
        <v>28</v>
      </c>
      <c r="J333" t="s">
        <v>46</v>
      </c>
      <c r="K333" t="s">
        <v>69</v>
      </c>
      <c r="L333" t="s">
        <v>38</v>
      </c>
    </row>
    <row r="334" spans="1:12" x14ac:dyDescent="0.3">
      <c r="A334" t="s">
        <v>1002</v>
      </c>
      <c r="B334" t="s">
        <v>452</v>
      </c>
      <c r="C334" t="s">
        <v>279</v>
      </c>
      <c r="D334" t="s">
        <v>1003</v>
      </c>
      <c r="E334" t="s">
        <v>16</v>
      </c>
      <c r="F334">
        <v>79866</v>
      </c>
      <c r="G334" t="s">
        <v>79</v>
      </c>
      <c r="H334" t="s">
        <v>52</v>
      </c>
      <c r="I334" t="s">
        <v>28</v>
      </c>
      <c r="J334" t="s">
        <v>46</v>
      </c>
      <c r="K334" t="s">
        <v>80</v>
      </c>
      <c r="L334" t="s">
        <v>22</v>
      </c>
    </row>
    <row r="335" spans="1:12" x14ac:dyDescent="0.3">
      <c r="A335" t="s">
        <v>1004</v>
      </c>
      <c r="B335" t="s">
        <v>168</v>
      </c>
      <c r="C335" t="s">
        <v>724</v>
      </c>
      <c r="D335" t="s">
        <v>378</v>
      </c>
      <c r="E335" t="s">
        <v>34</v>
      </c>
      <c r="F335">
        <v>9744</v>
      </c>
      <c r="G335" t="s">
        <v>17</v>
      </c>
      <c r="H335" t="s">
        <v>27</v>
      </c>
      <c r="I335" t="s">
        <v>19</v>
      </c>
      <c r="J335" t="s">
        <v>20</v>
      </c>
      <c r="K335" t="s">
        <v>96</v>
      </c>
      <c r="L335" t="s">
        <v>38</v>
      </c>
    </row>
    <row r="336" spans="1:12" x14ac:dyDescent="0.3">
      <c r="A336" t="s">
        <v>1005</v>
      </c>
      <c r="B336" t="s">
        <v>649</v>
      </c>
      <c r="C336" t="s">
        <v>1006</v>
      </c>
      <c r="D336" t="s">
        <v>1007</v>
      </c>
      <c r="E336" t="s">
        <v>62</v>
      </c>
      <c r="F336">
        <v>5725</v>
      </c>
      <c r="G336" t="s">
        <v>35</v>
      </c>
      <c r="H336" t="s">
        <v>36</v>
      </c>
      <c r="I336" t="s">
        <v>28</v>
      </c>
      <c r="J336" t="s">
        <v>20</v>
      </c>
      <c r="K336" t="s">
        <v>96</v>
      </c>
      <c r="L336" t="s">
        <v>38</v>
      </c>
    </row>
    <row r="337" spans="1:12" x14ac:dyDescent="0.3">
      <c r="A337" t="s">
        <v>1008</v>
      </c>
      <c r="B337" t="s">
        <v>742</v>
      </c>
      <c r="C337" t="s">
        <v>1009</v>
      </c>
      <c r="D337" t="s">
        <v>1010</v>
      </c>
      <c r="E337" t="s">
        <v>43</v>
      </c>
      <c r="F337">
        <v>6928</v>
      </c>
      <c r="G337" t="s">
        <v>35</v>
      </c>
      <c r="H337" t="s">
        <v>52</v>
      </c>
      <c r="I337" t="s">
        <v>19</v>
      </c>
      <c r="J337" t="s">
        <v>20</v>
      </c>
      <c r="K337" t="s">
        <v>96</v>
      </c>
      <c r="L337" t="s">
        <v>38</v>
      </c>
    </row>
    <row r="338" spans="1:12" x14ac:dyDescent="0.3">
      <c r="A338" t="s">
        <v>1011</v>
      </c>
      <c r="B338" t="s">
        <v>483</v>
      </c>
      <c r="C338" t="s">
        <v>1012</v>
      </c>
      <c r="D338" t="s">
        <v>1013</v>
      </c>
      <c r="E338" t="s">
        <v>51</v>
      </c>
      <c r="F338">
        <v>14723</v>
      </c>
      <c r="G338" t="s">
        <v>17</v>
      </c>
      <c r="H338" t="s">
        <v>18</v>
      </c>
      <c r="I338" t="s">
        <v>19</v>
      </c>
      <c r="J338" t="s">
        <v>95</v>
      </c>
      <c r="K338" t="s">
        <v>80</v>
      </c>
      <c r="L338" t="s">
        <v>38</v>
      </c>
    </row>
    <row r="339" spans="1:12" x14ac:dyDescent="0.3">
      <c r="A339" t="s">
        <v>1014</v>
      </c>
      <c r="B339" t="s">
        <v>960</v>
      </c>
      <c r="C339" t="s">
        <v>1015</v>
      </c>
      <c r="D339" t="s">
        <v>292</v>
      </c>
      <c r="E339" t="s">
        <v>94</v>
      </c>
      <c r="F339">
        <v>1070</v>
      </c>
      <c r="G339" t="s">
        <v>44</v>
      </c>
      <c r="H339" t="s">
        <v>52</v>
      </c>
      <c r="I339" t="s">
        <v>28</v>
      </c>
      <c r="J339" t="s">
        <v>20</v>
      </c>
      <c r="K339" t="s">
        <v>69</v>
      </c>
      <c r="L339" t="s">
        <v>38</v>
      </c>
    </row>
    <row r="340" spans="1:12" x14ac:dyDescent="0.3">
      <c r="A340" t="s">
        <v>1016</v>
      </c>
      <c r="B340" t="s">
        <v>1017</v>
      </c>
      <c r="C340" t="s">
        <v>852</v>
      </c>
      <c r="D340" t="s">
        <v>537</v>
      </c>
      <c r="E340" t="s">
        <v>62</v>
      </c>
      <c r="F340">
        <v>12098</v>
      </c>
      <c r="G340" t="s">
        <v>35</v>
      </c>
      <c r="H340" t="s">
        <v>27</v>
      </c>
      <c r="I340" t="s">
        <v>19</v>
      </c>
      <c r="J340" t="s">
        <v>46</v>
      </c>
      <c r="K340" t="s">
        <v>29</v>
      </c>
      <c r="L340" t="s">
        <v>38</v>
      </c>
    </row>
    <row r="341" spans="1:12" x14ac:dyDescent="0.3">
      <c r="A341" t="s">
        <v>1018</v>
      </c>
      <c r="B341" t="s">
        <v>187</v>
      </c>
      <c r="C341" t="s">
        <v>1019</v>
      </c>
      <c r="D341" t="s">
        <v>1020</v>
      </c>
      <c r="E341" t="s">
        <v>16</v>
      </c>
      <c r="F341">
        <v>33848</v>
      </c>
      <c r="G341" t="s">
        <v>79</v>
      </c>
      <c r="H341" t="s">
        <v>45</v>
      </c>
      <c r="I341" t="s">
        <v>28</v>
      </c>
      <c r="J341" t="s">
        <v>46</v>
      </c>
      <c r="K341" t="s">
        <v>96</v>
      </c>
      <c r="L341" t="s">
        <v>22</v>
      </c>
    </row>
    <row r="342" spans="1:12" x14ac:dyDescent="0.3">
      <c r="A342" t="s">
        <v>1021</v>
      </c>
      <c r="B342" t="s">
        <v>1022</v>
      </c>
      <c r="C342" t="s">
        <v>1023</v>
      </c>
      <c r="D342" t="s">
        <v>125</v>
      </c>
      <c r="E342" t="s">
        <v>62</v>
      </c>
      <c r="F342">
        <v>3451</v>
      </c>
      <c r="G342" t="s">
        <v>63</v>
      </c>
      <c r="H342" t="s">
        <v>18</v>
      </c>
      <c r="I342" t="s">
        <v>19</v>
      </c>
      <c r="J342" t="s">
        <v>46</v>
      </c>
      <c r="K342" t="s">
        <v>29</v>
      </c>
      <c r="L342" t="s">
        <v>38</v>
      </c>
    </row>
    <row r="343" spans="1:12" x14ac:dyDescent="0.3">
      <c r="A343" t="s">
        <v>1024</v>
      </c>
      <c r="B343" t="s">
        <v>337</v>
      </c>
      <c r="C343" t="s">
        <v>1025</v>
      </c>
      <c r="D343" t="s">
        <v>945</v>
      </c>
      <c r="E343" t="s">
        <v>78</v>
      </c>
      <c r="F343">
        <v>11467</v>
      </c>
      <c r="G343" t="s">
        <v>17</v>
      </c>
      <c r="H343" t="s">
        <v>18</v>
      </c>
      <c r="I343" t="s">
        <v>19</v>
      </c>
      <c r="J343" t="s">
        <v>46</v>
      </c>
      <c r="K343" t="s">
        <v>37</v>
      </c>
      <c r="L343" t="s">
        <v>38</v>
      </c>
    </row>
    <row r="344" spans="1:12" x14ac:dyDescent="0.3">
      <c r="A344" t="s">
        <v>1026</v>
      </c>
      <c r="B344" t="s">
        <v>373</v>
      </c>
      <c r="C344" t="s">
        <v>1027</v>
      </c>
      <c r="D344" t="s">
        <v>1028</v>
      </c>
      <c r="E344" t="s">
        <v>16</v>
      </c>
      <c r="F344">
        <v>59169</v>
      </c>
      <c r="G344" t="s">
        <v>63</v>
      </c>
      <c r="H344" t="s">
        <v>36</v>
      </c>
      <c r="I344" t="s">
        <v>28</v>
      </c>
      <c r="J344" t="s">
        <v>20</v>
      </c>
      <c r="K344" t="s">
        <v>21</v>
      </c>
      <c r="L344" t="s">
        <v>22</v>
      </c>
    </row>
    <row r="345" spans="1:12" x14ac:dyDescent="0.3">
      <c r="A345" t="s">
        <v>1029</v>
      </c>
      <c r="B345" t="s">
        <v>1030</v>
      </c>
      <c r="C345" t="s">
        <v>1031</v>
      </c>
      <c r="D345" t="s">
        <v>215</v>
      </c>
      <c r="E345" t="s">
        <v>34</v>
      </c>
      <c r="F345">
        <v>7620</v>
      </c>
      <c r="G345" t="s">
        <v>35</v>
      </c>
      <c r="H345" t="s">
        <v>105</v>
      </c>
      <c r="I345" t="s">
        <v>19</v>
      </c>
      <c r="J345" t="s">
        <v>20</v>
      </c>
      <c r="K345" t="s">
        <v>69</v>
      </c>
      <c r="L345" t="s">
        <v>38</v>
      </c>
    </row>
    <row r="346" spans="1:12" x14ac:dyDescent="0.3">
      <c r="A346" t="s">
        <v>1032</v>
      </c>
      <c r="B346" t="s">
        <v>474</v>
      </c>
      <c r="C346" t="s">
        <v>1033</v>
      </c>
      <c r="D346" t="s">
        <v>954</v>
      </c>
      <c r="E346" t="s">
        <v>94</v>
      </c>
      <c r="F346">
        <v>6613</v>
      </c>
      <c r="G346" t="s">
        <v>68</v>
      </c>
      <c r="H346" t="s">
        <v>18</v>
      </c>
      <c r="I346" t="s">
        <v>28</v>
      </c>
      <c r="J346" t="s">
        <v>95</v>
      </c>
      <c r="K346" t="s">
        <v>69</v>
      </c>
      <c r="L346" t="s">
        <v>38</v>
      </c>
    </row>
    <row r="347" spans="1:12" x14ac:dyDescent="0.3">
      <c r="A347" t="s">
        <v>1034</v>
      </c>
      <c r="B347" t="s">
        <v>1035</v>
      </c>
      <c r="C347" t="s">
        <v>1036</v>
      </c>
      <c r="D347" t="s">
        <v>855</v>
      </c>
      <c r="E347" t="s">
        <v>34</v>
      </c>
      <c r="F347">
        <v>3289</v>
      </c>
      <c r="G347" t="s">
        <v>17</v>
      </c>
      <c r="H347" t="s">
        <v>45</v>
      </c>
      <c r="I347" t="s">
        <v>19</v>
      </c>
      <c r="J347" t="s">
        <v>20</v>
      </c>
      <c r="K347" t="s">
        <v>96</v>
      </c>
      <c r="L347" t="s">
        <v>38</v>
      </c>
    </row>
    <row r="348" spans="1:12" x14ac:dyDescent="0.3">
      <c r="A348" t="s">
        <v>1037</v>
      </c>
      <c r="B348" t="s">
        <v>606</v>
      </c>
      <c r="C348" t="s">
        <v>1038</v>
      </c>
      <c r="D348" t="s">
        <v>292</v>
      </c>
      <c r="E348" t="s">
        <v>34</v>
      </c>
      <c r="F348">
        <v>9452</v>
      </c>
      <c r="G348" t="s">
        <v>63</v>
      </c>
      <c r="H348" t="s">
        <v>85</v>
      </c>
      <c r="I348" t="s">
        <v>19</v>
      </c>
      <c r="J348" t="s">
        <v>95</v>
      </c>
      <c r="K348" t="s">
        <v>57</v>
      </c>
      <c r="L348" t="s">
        <v>38</v>
      </c>
    </row>
    <row r="349" spans="1:12" x14ac:dyDescent="0.3">
      <c r="A349" t="s">
        <v>1039</v>
      </c>
      <c r="B349" t="s">
        <v>82</v>
      </c>
      <c r="C349" t="s">
        <v>1040</v>
      </c>
      <c r="D349" t="s">
        <v>1041</v>
      </c>
      <c r="E349" t="s">
        <v>62</v>
      </c>
      <c r="F349">
        <v>3567</v>
      </c>
      <c r="G349" t="s">
        <v>79</v>
      </c>
      <c r="H349" t="s">
        <v>113</v>
      </c>
      <c r="I349" t="s">
        <v>19</v>
      </c>
      <c r="J349" t="s">
        <v>46</v>
      </c>
      <c r="K349" t="s">
        <v>21</v>
      </c>
      <c r="L349" t="s">
        <v>38</v>
      </c>
    </row>
    <row r="350" spans="1:12" x14ac:dyDescent="0.3">
      <c r="A350" t="s">
        <v>1042</v>
      </c>
      <c r="B350" t="s">
        <v>901</v>
      </c>
      <c r="C350" t="s">
        <v>1043</v>
      </c>
      <c r="D350" t="s">
        <v>288</v>
      </c>
      <c r="E350" t="s">
        <v>51</v>
      </c>
      <c r="F350">
        <v>4885</v>
      </c>
      <c r="G350" t="s">
        <v>17</v>
      </c>
      <c r="H350" t="s">
        <v>105</v>
      </c>
      <c r="I350" t="s">
        <v>19</v>
      </c>
      <c r="J350" t="s">
        <v>95</v>
      </c>
      <c r="K350" t="s">
        <v>37</v>
      </c>
      <c r="L350" t="s">
        <v>38</v>
      </c>
    </row>
    <row r="351" spans="1:12" x14ac:dyDescent="0.3">
      <c r="A351" t="s">
        <v>1044</v>
      </c>
      <c r="B351" t="s">
        <v>1045</v>
      </c>
      <c r="C351" t="s">
        <v>1046</v>
      </c>
      <c r="D351" t="s">
        <v>1047</v>
      </c>
      <c r="E351" t="s">
        <v>78</v>
      </c>
      <c r="F351">
        <v>10579</v>
      </c>
      <c r="G351" t="s">
        <v>63</v>
      </c>
      <c r="H351" t="s">
        <v>105</v>
      </c>
      <c r="I351" t="s">
        <v>28</v>
      </c>
      <c r="J351" t="s">
        <v>95</v>
      </c>
      <c r="K351" t="s">
        <v>69</v>
      </c>
      <c r="L351" t="s">
        <v>38</v>
      </c>
    </row>
    <row r="352" spans="1:12" x14ac:dyDescent="0.3">
      <c r="A352" t="s">
        <v>1048</v>
      </c>
      <c r="B352" t="s">
        <v>1022</v>
      </c>
      <c r="C352" t="s">
        <v>1049</v>
      </c>
      <c r="D352" t="s">
        <v>73</v>
      </c>
      <c r="E352" t="s">
        <v>62</v>
      </c>
      <c r="F352">
        <v>12853</v>
      </c>
      <c r="G352" t="s">
        <v>35</v>
      </c>
      <c r="H352" t="s">
        <v>45</v>
      </c>
      <c r="I352" t="s">
        <v>28</v>
      </c>
      <c r="J352" t="s">
        <v>95</v>
      </c>
      <c r="K352" t="s">
        <v>37</v>
      </c>
      <c r="L352" t="s">
        <v>38</v>
      </c>
    </row>
    <row r="353" spans="1:12" x14ac:dyDescent="0.3">
      <c r="A353" t="s">
        <v>1050</v>
      </c>
      <c r="B353" t="s">
        <v>649</v>
      </c>
      <c r="C353" t="s">
        <v>1051</v>
      </c>
      <c r="D353" t="s">
        <v>395</v>
      </c>
      <c r="E353" t="s">
        <v>34</v>
      </c>
      <c r="F353">
        <v>3638</v>
      </c>
      <c r="G353" t="s">
        <v>79</v>
      </c>
      <c r="H353" t="s">
        <v>85</v>
      </c>
      <c r="I353" t="s">
        <v>28</v>
      </c>
      <c r="J353" t="s">
        <v>46</v>
      </c>
      <c r="K353" t="s">
        <v>69</v>
      </c>
      <c r="L353" t="s">
        <v>38</v>
      </c>
    </row>
    <row r="354" spans="1:12" x14ac:dyDescent="0.3">
      <c r="A354" t="s">
        <v>1052</v>
      </c>
      <c r="B354" t="s">
        <v>350</v>
      </c>
      <c r="C354" t="s">
        <v>1053</v>
      </c>
      <c r="D354" t="s">
        <v>622</v>
      </c>
      <c r="E354" t="s">
        <v>94</v>
      </c>
      <c r="F354">
        <v>1690</v>
      </c>
      <c r="G354" t="s">
        <v>17</v>
      </c>
      <c r="H354" t="s">
        <v>105</v>
      </c>
      <c r="I354" t="s">
        <v>19</v>
      </c>
      <c r="J354" t="s">
        <v>20</v>
      </c>
      <c r="K354" t="s">
        <v>21</v>
      </c>
      <c r="L354" t="s">
        <v>38</v>
      </c>
    </row>
    <row r="355" spans="1:12" x14ac:dyDescent="0.3">
      <c r="A355" t="s">
        <v>1054</v>
      </c>
      <c r="B355" t="s">
        <v>306</v>
      </c>
      <c r="C355" t="s">
        <v>1055</v>
      </c>
      <c r="D355" t="s">
        <v>920</v>
      </c>
      <c r="E355" t="s">
        <v>78</v>
      </c>
      <c r="F355">
        <v>13898</v>
      </c>
      <c r="G355" t="s">
        <v>68</v>
      </c>
      <c r="H355" t="s">
        <v>45</v>
      </c>
      <c r="I355" t="s">
        <v>28</v>
      </c>
      <c r="J355" t="s">
        <v>20</v>
      </c>
      <c r="K355" t="s">
        <v>21</v>
      </c>
      <c r="L355" t="s">
        <v>38</v>
      </c>
    </row>
    <row r="356" spans="1:12" x14ac:dyDescent="0.3">
      <c r="A356" t="s">
        <v>1056</v>
      </c>
      <c r="B356" t="s">
        <v>54</v>
      </c>
      <c r="C356" t="s">
        <v>1057</v>
      </c>
      <c r="D356" t="s">
        <v>631</v>
      </c>
      <c r="E356" t="s">
        <v>16</v>
      </c>
      <c r="F356">
        <v>9350</v>
      </c>
      <c r="G356" t="s">
        <v>17</v>
      </c>
      <c r="H356" t="s">
        <v>85</v>
      </c>
      <c r="I356" t="s">
        <v>28</v>
      </c>
      <c r="J356" t="s">
        <v>20</v>
      </c>
      <c r="K356" t="s">
        <v>29</v>
      </c>
      <c r="L356" t="s">
        <v>38</v>
      </c>
    </row>
    <row r="357" spans="1:12" x14ac:dyDescent="0.3">
      <c r="A357" t="s">
        <v>1058</v>
      </c>
      <c r="B357" t="s">
        <v>748</v>
      </c>
      <c r="C357" t="s">
        <v>1059</v>
      </c>
      <c r="D357" t="s">
        <v>596</v>
      </c>
      <c r="E357" t="s">
        <v>16</v>
      </c>
      <c r="F357">
        <v>50490</v>
      </c>
      <c r="G357" t="s">
        <v>79</v>
      </c>
      <c r="H357" t="s">
        <v>85</v>
      </c>
      <c r="I357" t="s">
        <v>19</v>
      </c>
      <c r="J357" t="s">
        <v>20</v>
      </c>
      <c r="K357" t="s">
        <v>37</v>
      </c>
      <c r="L357" t="s">
        <v>22</v>
      </c>
    </row>
    <row r="358" spans="1:12" x14ac:dyDescent="0.3">
      <c r="A358" t="s">
        <v>1060</v>
      </c>
      <c r="B358" t="s">
        <v>1061</v>
      </c>
      <c r="C358" t="s">
        <v>1062</v>
      </c>
      <c r="D358" t="s">
        <v>174</v>
      </c>
      <c r="E358" t="s">
        <v>34</v>
      </c>
      <c r="F358">
        <v>5632</v>
      </c>
      <c r="G358" t="s">
        <v>63</v>
      </c>
      <c r="H358" t="s">
        <v>105</v>
      </c>
      <c r="I358" t="s">
        <v>19</v>
      </c>
      <c r="J358" t="s">
        <v>46</v>
      </c>
      <c r="K358" t="s">
        <v>21</v>
      </c>
      <c r="L358" t="s">
        <v>38</v>
      </c>
    </row>
    <row r="359" spans="1:12" x14ac:dyDescent="0.3">
      <c r="A359" t="s">
        <v>1063</v>
      </c>
      <c r="B359" t="s">
        <v>707</v>
      </c>
      <c r="C359" t="s">
        <v>1001</v>
      </c>
      <c r="D359" t="s">
        <v>196</v>
      </c>
      <c r="E359" t="s">
        <v>34</v>
      </c>
      <c r="F359">
        <v>13918</v>
      </c>
      <c r="G359" t="s">
        <v>68</v>
      </c>
      <c r="H359" t="s">
        <v>45</v>
      </c>
      <c r="I359" t="s">
        <v>28</v>
      </c>
      <c r="J359" t="s">
        <v>46</v>
      </c>
      <c r="K359" t="s">
        <v>21</v>
      </c>
      <c r="L359" t="s">
        <v>38</v>
      </c>
    </row>
    <row r="360" spans="1:12" x14ac:dyDescent="0.3">
      <c r="A360" t="s">
        <v>1064</v>
      </c>
      <c r="B360" t="s">
        <v>135</v>
      </c>
      <c r="C360" t="s">
        <v>1065</v>
      </c>
      <c r="D360" t="s">
        <v>129</v>
      </c>
      <c r="E360" t="s">
        <v>94</v>
      </c>
      <c r="F360">
        <v>2285</v>
      </c>
      <c r="G360" t="s">
        <v>63</v>
      </c>
      <c r="H360" t="s">
        <v>85</v>
      </c>
      <c r="I360" t="s">
        <v>28</v>
      </c>
      <c r="J360" t="s">
        <v>46</v>
      </c>
      <c r="K360" t="s">
        <v>29</v>
      </c>
      <c r="L360" t="s">
        <v>38</v>
      </c>
    </row>
    <row r="361" spans="1:12" x14ac:dyDescent="0.3">
      <c r="A361" t="s">
        <v>1066</v>
      </c>
      <c r="B361" t="s">
        <v>727</v>
      </c>
      <c r="C361" t="s">
        <v>1067</v>
      </c>
      <c r="D361" t="s">
        <v>288</v>
      </c>
      <c r="E361" t="s">
        <v>78</v>
      </c>
      <c r="F361">
        <v>10105</v>
      </c>
      <c r="G361" t="s">
        <v>63</v>
      </c>
      <c r="H361" t="s">
        <v>113</v>
      </c>
      <c r="I361" t="s">
        <v>28</v>
      </c>
      <c r="J361" t="s">
        <v>95</v>
      </c>
      <c r="K361" t="s">
        <v>37</v>
      </c>
      <c r="L361" t="s">
        <v>38</v>
      </c>
    </row>
    <row r="362" spans="1:12" x14ac:dyDescent="0.3">
      <c r="A362" t="s">
        <v>1068</v>
      </c>
      <c r="B362" t="s">
        <v>347</v>
      </c>
      <c r="C362" t="s">
        <v>1069</v>
      </c>
      <c r="D362" t="s">
        <v>556</v>
      </c>
      <c r="E362" t="s">
        <v>94</v>
      </c>
      <c r="F362">
        <v>2961</v>
      </c>
      <c r="G362" t="s">
        <v>44</v>
      </c>
      <c r="H362" t="s">
        <v>105</v>
      </c>
      <c r="I362" t="s">
        <v>19</v>
      </c>
      <c r="J362" t="s">
        <v>95</v>
      </c>
      <c r="K362" t="s">
        <v>21</v>
      </c>
      <c r="L362" t="s">
        <v>38</v>
      </c>
    </row>
    <row r="363" spans="1:12" x14ac:dyDescent="0.3">
      <c r="A363" t="s">
        <v>1070</v>
      </c>
      <c r="B363" t="s">
        <v>1071</v>
      </c>
      <c r="C363" t="s">
        <v>367</v>
      </c>
      <c r="D363" t="s">
        <v>314</v>
      </c>
      <c r="E363" t="s">
        <v>51</v>
      </c>
      <c r="F363">
        <v>9315</v>
      </c>
      <c r="G363" t="s">
        <v>44</v>
      </c>
      <c r="H363" t="s">
        <v>18</v>
      </c>
      <c r="I363" t="s">
        <v>19</v>
      </c>
      <c r="J363" t="s">
        <v>20</v>
      </c>
      <c r="K363" t="s">
        <v>37</v>
      </c>
      <c r="L363" t="s">
        <v>38</v>
      </c>
    </row>
    <row r="364" spans="1:12" x14ac:dyDescent="0.3">
      <c r="A364" t="s">
        <v>1072</v>
      </c>
      <c r="B364" t="s">
        <v>143</v>
      </c>
      <c r="C364" t="s">
        <v>1073</v>
      </c>
      <c r="D364" t="s">
        <v>1074</v>
      </c>
      <c r="E364" t="s">
        <v>51</v>
      </c>
      <c r="F364">
        <v>1503</v>
      </c>
      <c r="G364" t="s">
        <v>68</v>
      </c>
      <c r="H364" t="s">
        <v>27</v>
      </c>
      <c r="I364" t="s">
        <v>19</v>
      </c>
      <c r="J364" t="s">
        <v>20</v>
      </c>
      <c r="K364" t="s">
        <v>80</v>
      </c>
      <c r="L364" t="s">
        <v>38</v>
      </c>
    </row>
    <row r="365" spans="1:12" x14ac:dyDescent="0.3">
      <c r="A365" t="s">
        <v>1075</v>
      </c>
      <c r="B365" t="s">
        <v>366</v>
      </c>
      <c r="C365" t="s">
        <v>1076</v>
      </c>
      <c r="D365" t="s">
        <v>725</v>
      </c>
      <c r="E365" t="s">
        <v>43</v>
      </c>
      <c r="F365">
        <v>1820</v>
      </c>
      <c r="G365" t="s">
        <v>17</v>
      </c>
      <c r="H365" t="s">
        <v>36</v>
      </c>
      <c r="I365" t="s">
        <v>19</v>
      </c>
      <c r="J365" t="s">
        <v>46</v>
      </c>
      <c r="K365" t="s">
        <v>57</v>
      </c>
      <c r="L365" t="s">
        <v>38</v>
      </c>
    </row>
    <row r="366" spans="1:12" x14ac:dyDescent="0.3">
      <c r="A366" t="s">
        <v>1077</v>
      </c>
      <c r="B366" t="s">
        <v>786</v>
      </c>
      <c r="C366" t="s">
        <v>1078</v>
      </c>
      <c r="D366" t="s">
        <v>108</v>
      </c>
      <c r="E366" t="s">
        <v>34</v>
      </c>
      <c r="F366">
        <v>6199</v>
      </c>
      <c r="G366" t="s">
        <v>68</v>
      </c>
      <c r="H366" t="s">
        <v>27</v>
      </c>
      <c r="I366" t="s">
        <v>19</v>
      </c>
      <c r="J366" t="s">
        <v>46</v>
      </c>
      <c r="K366" t="s">
        <v>57</v>
      </c>
      <c r="L366" t="s">
        <v>38</v>
      </c>
    </row>
    <row r="367" spans="1:12" x14ac:dyDescent="0.3">
      <c r="A367" t="s">
        <v>1079</v>
      </c>
      <c r="B367" t="s">
        <v>24</v>
      </c>
      <c r="C367" t="s">
        <v>181</v>
      </c>
      <c r="D367" t="s">
        <v>951</v>
      </c>
      <c r="E367" t="s">
        <v>43</v>
      </c>
      <c r="F367">
        <v>5271</v>
      </c>
      <c r="G367" t="s">
        <v>63</v>
      </c>
      <c r="H367" t="s">
        <v>113</v>
      </c>
      <c r="I367" t="s">
        <v>28</v>
      </c>
      <c r="J367" t="s">
        <v>20</v>
      </c>
      <c r="K367" t="s">
        <v>29</v>
      </c>
      <c r="L367" t="s">
        <v>38</v>
      </c>
    </row>
    <row r="368" spans="1:12" x14ac:dyDescent="0.3">
      <c r="A368" t="s">
        <v>1080</v>
      </c>
      <c r="B368" t="s">
        <v>960</v>
      </c>
      <c r="C368" t="s">
        <v>1081</v>
      </c>
      <c r="D368" t="s">
        <v>729</v>
      </c>
      <c r="E368" t="s">
        <v>62</v>
      </c>
      <c r="F368">
        <v>14764</v>
      </c>
      <c r="G368" t="s">
        <v>63</v>
      </c>
      <c r="H368" t="s">
        <v>85</v>
      </c>
      <c r="I368" t="s">
        <v>19</v>
      </c>
      <c r="J368" t="s">
        <v>95</v>
      </c>
      <c r="K368" t="s">
        <v>57</v>
      </c>
      <c r="L368" t="s">
        <v>38</v>
      </c>
    </row>
    <row r="369" spans="1:12" x14ac:dyDescent="0.3">
      <c r="A369" t="s">
        <v>1082</v>
      </c>
      <c r="B369" t="s">
        <v>143</v>
      </c>
      <c r="C369" t="s">
        <v>1083</v>
      </c>
      <c r="D369" t="s">
        <v>258</v>
      </c>
      <c r="E369" t="s">
        <v>43</v>
      </c>
      <c r="F369">
        <v>7163</v>
      </c>
      <c r="G369" t="s">
        <v>63</v>
      </c>
      <c r="H369" t="s">
        <v>27</v>
      </c>
      <c r="I369" t="s">
        <v>19</v>
      </c>
      <c r="J369" t="s">
        <v>20</v>
      </c>
      <c r="K369" t="s">
        <v>57</v>
      </c>
      <c r="L369" t="s">
        <v>38</v>
      </c>
    </row>
    <row r="370" spans="1:12" x14ac:dyDescent="0.3">
      <c r="A370" t="s">
        <v>1084</v>
      </c>
      <c r="B370" t="s">
        <v>91</v>
      </c>
      <c r="C370" t="s">
        <v>1085</v>
      </c>
      <c r="D370" t="s">
        <v>1086</v>
      </c>
      <c r="E370" t="s">
        <v>94</v>
      </c>
      <c r="F370">
        <v>12009</v>
      </c>
      <c r="G370" t="s">
        <v>17</v>
      </c>
      <c r="H370" t="s">
        <v>27</v>
      </c>
      <c r="I370" t="s">
        <v>19</v>
      </c>
      <c r="J370" t="s">
        <v>46</v>
      </c>
      <c r="K370" t="s">
        <v>96</v>
      </c>
      <c r="L370" t="s">
        <v>38</v>
      </c>
    </row>
    <row r="371" spans="1:12" x14ac:dyDescent="0.3">
      <c r="A371" t="s">
        <v>1087</v>
      </c>
      <c r="B371" t="s">
        <v>763</v>
      </c>
      <c r="C371" t="s">
        <v>1088</v>
      </c>
      <c r="D371" t="s">
        <v>1089</v>
      </c>
      <c r="E371" t="s">
        <v>43</v>
      </c>
      <c r="F371">
        <v>8093</v>
      </c>
      <c r="G371" t="s">
        <v>63</v>
      </c>
      <c r="H371" t="s">
        <v>36</v>
      </c>
      <c r="I371" t="s">
        <v>19</v>
      </c>
      <c r="J371" t="s">
        <v>46</v>
      </c>
      <c r="K371" t="s">
        <v>37</v>
      </c>
      <c r="L371" t="s">
        <v>38</v>
      </c>
    </row>
    <row r="372" spans="1:12" x14ac:dyDescent="0.3">
      <c r="A372" t="s">
        <v>1090</v>
      </c>
      <c r="B372" t="s">
        <v>871</v>
      </c>
      <c r="C372" t="s">
        <v>1091</v>
      </c>
      <c r="D372" t="s">
        <v>1092</v>
      </c>
      <c r="E372" t="s">
        <v>43</v>
      </c>
      <c r="F372">
        <v>3321</v>
      </c>
      <c r="G372" t="s">
        <v>68</v>
      </c>
      <c r="H372" t="s">
        <v>52</v>
      </c>
      <c r="I372" t="s">
        <v>19</v>
      </c>
      <c r="J372" t="s">
        <v>20</v>
      </c>
      <c r="K372" t="s">
        <v>57</v>
      </c>
      <c r="L372" t="s">
        <v>38</v>
      </c>
    </row>
    <row r="373" spans="1:12" x14ac:dyDescent="0.3">
      <c r="A373" t="s">
        <v>1093</v>
      </c>
      <c r="B373" t="s">
        <v>912</v>
      </c>
      <c r="C373" t="s">
        <v>1094</v>
      </c>
      <c r="D373" t="s">
        <v>699</v>
      </c>
      <c r="E373" t="s">
        <v>94</v>
      </c>
      <c r="F373">
        <v>7765</v>
      </c>
      <c r="G373" t="s">
        <v>17</v>
      </c>
      <c r="H373" t="s">
        <v>36</v>
      </c>
      <c r="I373" t="s">
        <v>19</v>
      </c>
      <c r="J373" t="s">
        <v>46</v>
      </c>
      <c r="K373" t="s">
        <v>37</v>
      </c>
      <c r="L373" t="s">
        <v>38</v>
      </c>
    </row>
    <row r="374" spans="1:12" x14ac:dyDescent="0.3">
      <c r="A374" t="s">
        <v>1095</v>
      </c>
      <c r="B374" t="s">
        <v>714</v>
      </c>
      <c r="C374" t="s">
        <v>1096</v>
      </c>
      <c r="D374" t="s">
        <v>890</v>
      </c>
      <c r="E374" t="s">
        <v>51</v>
      </c>
      <c r="F374">
        <v>781</v>
      </c>
      <c r="G374" t="s">
        <v>68</v>
      </c>
      <c r="H374" t="s">
        <v>27</v>
      </c>
      <c r="I374" t="s">
        <v>28</v>
      </c>
      <c r="J374" t="s">
        <v>46</v>
      </c>
      <c r="K374" t="s">
        <v>21</v>
      </c>
      <c r="L374" t="s">
        <v>38</v>
      </c>
    </row>
    <row r="375" spans="1:12" x14ac:dyDescent="0.3">
      <c r="A375" t="s">
        <v>1097</v>
      </c>
      <c r="B375" t="s">
        <v>603</v>
      </c>
      <c r="C375" t="s">
        <v>1098</v>
      </c>
      <c r="D375" t="s">
        <v>182</v>
      </c>
      <c r="E375" t="s">
        <v>43</v>
      </c>
      <c r="F375">
        <v>10985</v>
      </c>
      <c r="G375" t="s">
        <v>68</v>
      </c>
      <c r="H375" t="s">
        <v>36</v>
      </c>
      <c r="I375" t="s">
        <v>19</v>
      </c>
      <c r="J375" t="s">
        <v>95</v>
      </c>
      <c r="K375" t="s">
        <v>21</v>
      </c>
      <c r="L375" t="s">
        <v>38</v>
      </c>
    </row>
    <row r="376" spans="1:12" x14ac:dyDescent="0.3">
      <c r="A376" t="s">
        <v>1099</v>
      </c>
      <c r="B376" t="s">
        <v>147</v>
      </c>
      <c r="C376" t="s">
        <v>1043</v>
      </c>
      <c r="D376" t="s">
        <v>702</v>
      </c>
      <c r="E376" t="s">
        <v>16</v>
      </c>
      <c r="F376">
        <v>6908</v>
      </c>
      <c r="G376" t="s">
        <v>63</v>
      </c>
      <c r="H376" t="s">
        <v>52</v>
      </c>
      <c r="I376" t="s">
        <v>19</v>
      </c>
      <c r="J376" t="s">
        <v>20</v>
      </c>
      <c r="K376" t="s">
        <v>57</v>
      </c>
      <c r="L376" t="s">
        <v>38</v>
      </c>
    </row>
    <row r="377" spans="1:12" x14ac:dyDescent="0.3">
      <c r="A377" t="s">
        <v>1100</v>
      </c>
      <c r="B377" t="s">
        <v>24</v>
      </c>
      <c r="C377" t="s">
        <v>1101</v>
      </c>
      <c r="D377" t="s">
        <v>89</v>
      </c>
      <c r="E377" t="s">
        <v>34</v>
      </c>
      <c r="F377">
        <v>14803</v>
      </c>
      <c r="G377" t="s">
        <v>17</v>
      </c>
      <c r="H377" t="s">
        <v>113</v>
      </c>
      <c r="I377" t="s">
        <v>19</v>
      </c>
      <c r="J377" t="s">
        <v>95</v>
      </c>
      <c r="K377" t="s">
        <v>69</v>
      </c>
      <c r="L377" t="s">
        <v>38</v>
      </c>
    </row>
    <row r="378" spans="1:12" x14ac:dyDescent="0.3">
      <c r="A378" t="s">
        <v>1102</v>
      </c>
      <c r="B378" t="s">
        <v>363</v>
      </c>
      <c r="C378" t="s">
        <v>872</v>
      </c>
      <c r="D378" t="s">
        <v>182</v>
      </c>
      <c r="E378" t="s">
        <v>34</v>
      </c>
      <c r="F378">
        <v>2788</v>
      </c>
      <c r="G378" t="s">
        <v>63</v>
      </c>
      <c r="H378" t="s">
        <v>105</v>
      </c>
      <c r="I378" t="s">
        <v>28</v>
      </c>
      <c r="J378" t="s">
        <v>20</v>
      </c>
      <c r="K378" t="s">
        <v>96</v>
      </c>
      <c r="L378" t="s">
        <v>38</v>
      </c>
    </row>
    <row r="379" spans="1:12" x14ac:dyDescent="0.3">
      <c r="A379" t="s">
        <v>1103</v>
      </c>
      <c r="B379" t="s">
        <v>98</v>
      </c>
      <c r="C379" t="s">
        <v>1104</v>
      </c>
      <c r="D379" t="s">
        <v>849</v>
      </c>
      <c r="E379" t="s">
        <v>34</v>
      </c>
      <c r="F379">
        <v>13526</v>
      </c>
      <c r="G379" t="s">
        <v>17</v>
      </c>
      <c r="H379" t="s">
        <v>45</v>
      </c>
      <c r="I379" t="s">
        <v>19</v>
      </c>
      <c r="J379" t="s">
        <v>95</v>
      </c>
      <c r="K379" t="s">
        <v>96</v>
      </c>
      <c r="L379" t="s">
        <v>38</v>
      </c>
    </row>
    <row r="380" spans="1:12" x14ac:dyDescent="0.3">
      <c r="A380" t="s">
        <v>1105</v>
      </c>
      <c r="B380" t="s">
        <v>1106</v>
      </c>
      <c r="C380" t="s">
        <v>1107</v>
      </c>
      <c r="D380" t="s">
        <v>693</v>
      </c>
      <c r="E380" t="s">
        <v>16</v>
      </c>
      <c r="F380">
        <v>5393</v>
      </c>
      <c r="G380" t="s">
        <v>17</v>
      </c>
      <c r="H380" t="s">
        <v>105</v>
      </c>
      <c r="I380" t="s">
        <v>28</v>
      </c>
      <c r="J380" t="s">
        <v>46</v>
      </c>
      <c r="K380" t="s">
        <v>96</v>
      </c>
      <c r="L380" t="s">
        <v>38</v>
      </c>
    </row>
    <row r="381" spans="1:12" x14ac:dyDescent="0.3">
      <c r="A381" t="s">
        <v>1108</v>
      </c>
      <c r="B381" t="s">
        <v>603</v>
      </c>
      <c r="C381" t="s">
        <v>1109</v>
      </c>
      <c r="D381" t="s">
        <v>1110</v>
      </c>
      <c r="E381" t="s">
        <v>16</v>
      </c>
      <c r="F381">
        <v>33133</v>
      </c>
      <c r="G381" t="s">
        <v>44</v>
      </c>
      <c r="H381" t="s">
        <v>52</v>
      </c>
      <c r="I381" t="s">
        <v>28</v>
      </c>
      <c r="J381" t="s">
        <v>20</v>
      </c>
      <c r="K381" t="s">
        <v>57</v>
      </c>
      <c r="L381" t="s">
        <v>22</v>
      </c>
    </row>
    <row r="382" spans="1:12" x14ac:dyDescent="0.3">
      <c r="A382" t="s">
        <v>1111</v>
      </c>
      <c r="B382" t="s">
        <v>401</v>
      </c>
      <c r="C382" t="s">
        <v>1112</v>
      </c>
      <c r="D382" t="s">
        <v>467</v>
      </c>
      <c r="E382" t="s">
        <v>43</v>
      </c>
      <c r="F382">
        <v>9422</v>
      </c>
      <c r="G382" t="s">
        <v>79</v>
      </c>
      <c r="H382" t="s">
        <v>36</v>
      </c>
      <c r="I382" t="s">
        <v>19</v>
      </c>
      <c r="J382" t="s">
        <v>20</v>
      </c>
      <c r="K382" t="s">
        <v>21</v>
      </c>
      <c r="L382" t="s">
        <v>38</v>
      </c>
    </row>
    <row r="383" spans="1:12" x14ac:dyDescent="0.3">
      <c r="A383" t="s">
        <v>1113</v>
      </c>
      <c r="B383" t="s">
        <v>949</v>
      </c>
      <c r="C383" t="s">
        <v>1114</v>
      </c>
      <c r="D383" t="s">
        <v>916</v>
      </c>
      <c r="E383" t="s">
        <v>62</v>
      </c>
      <c r="F383">
        <v>685</v>
      </c>
      <c r="G383" t="s">
        <v>44</v>
      </c>
      <c r="H383" t="s">
        <v>105</v>
      </c>
      <c r="I383" t="s">
        <v>28</v>
      </c>
      <c r="J383" t="s">
        <v>95</v>
      </c>
      <c r="K383" t="s">
        <v>37</v>
      </c>
      <c r="L383" t="s">
        <v>38</v>
      </c>
    </row>
    <row r="384" spans="1:12" x14ac:dyDescent="0.3">
      <c r="A384" t="s">
        <v>1115</v>
      </c>
      <c r="B384" t="s">
        <v>1035</v>
      </c>
      <c r="C384" t="s">
        <v>1116</v>
      </c>
      <c r="D384" t="s">
        <v>1020</v>
      </c>
      <c r="E384" t="s">
        <v>62</v>
      </c>
      <c r="F384">
        <v>13053</v>
      </c>
      <c r="G384" t="s">
        <v>35</v>
      </c>
      <c r="H384" t="s">
        <v>85</v>
      </c>
      <c r="I384" t="s">
        <v>19</v>
      </c>
      <c r="J384" t="s">
        <v>46</v>
      </c>
      <c r="K384" t="s">
        <v>69</v>
      </c>
      <c r="L384" t="s">
        <v>38</v>
      </c>
    </row>
    <row r="385" spans="1:12" x14ac:dyDescent="0.3">
      <c r="A385" t="s">
        <v>1117</v>
      </c>
      <c r="B385" t="s">
        <v>270</v>
      </c>
      <c r="C385" t="s">
        <v>1118</v>
      </c>
      <c r="D385" t="s">
        <v>129</v>
      </c>
      <c r="E385" t="s">
        <v>34</v>
      </c>
      <c r="F385">
        <v>12235</v>
      </c>
      <c r="G385" t="s">
        <v>17</v>
      </c>
      <c r="H385" t="s">
        <v>36</v>
      </c>
      <c r="I385" t="s">
        <v>19</v>
      </c>
      <c r="J385" t="s">
        <v>46</v>
      </c>
      <c r="K385" t="s">
        <v>29</v>
      </c>
      <c r="L385" t="s">
        <v>38</v>
      </c>
    </row>
    <row r="386" spans="1:12" x14ac:dyDescent="0.3">
      <c r="A386" t="s">
        <v>1119</v>
      </c>
      <c r="B386" t="s">
        <v>127</v>
      </c>
      <c r="C386" t="s">
        <v>749</v>
      </c>
      <c r="D386" t="s">
        <v>145</v>
      </c>
      <c r="E386" t="s">
        <v>34</v>
      </c>
      <c r="F386">
        <v>6721</v>
      </c>
      <c r="G386" t="s">
        <v>35</v>
      </c>
      <c r="H386" t="s">
        <v>45</v>
      </c>
      <c r="I386" t="s">
        <v>19</v>
      </c>
      <c r="J386" t="s">
        <v>95</v>
      </c>
      <c r="K386" t="s">
        <v>21</v>
      </c>
      <c r="L386" t="s">
        <v>38</v>
      </c>
    </row>
    <row r="387" spans="1:12" x14ac:dyDescent="0.3">
      <c r="A387" t="s">
        <v>1120</v>
      </c>
      <c r="B387" t="s">
        <v>869</v>
      </c>
      <c r="C387" t="s">
        <v>1121</v>
      </c>
      <c r="D387" t="s">
        <v>528</v>
      </c>
      <c r="E387" t="s">
        <v>78</v>
      </c>
      <c r="F387">
        <v>8353</v>
      </c>
      <c r="G387" t="s">
        <v>35</v>
      </c>
      <c r="H387" t="s">
        <v>105</v>
      </c>
      <c r="I387" t="s">
        <v>19</v>
      </c>
      <c r="J387" t="s">
        <v>95</v>
      </c>
      <c r="K387" t="s">
        <v>29</v>
      </c>
      <c r="L387" t="s">
        <v>38</v>
      </c>
    </row>
    <row r="388" spans="1:12" x14ac:dyDescent="0.3">
      <c r="A388" t="s">
        <v>1122</v>
      </c>
      <c r="B388" t="s">
        <v>416</v>
      </c>
      <c r="C388" t="s">
        <v>1123</v>
      </c>
      <c r="D388" t="s">
        <v>873</v>
      </c>
      <c r="E388" t="s">
        <v>62</v>
      </c>
      <c r="F388">
        <v>7528</v>
      </c>
      <c r="G388" t="s">
        <v>17</v>
      </c>
      <c r="H388" t="s">
        <v>52</v>
      </c>
      <c r="I388" t="s">
        <v>28</v>
      </c>
      <c r="J388" t="s">
        <v>95</v>
      </c>
      <c r="K388" t="s">
        <v>69</v>
      </c>
      <c r="L388" t="s">
        <v>38</v>
      </c>
    </row>
    <row r="389" spans="1:12" x14ac:dyDescent="0.3">
      <c r="A389" t="s">
        <v>1124</v>
      </c>
      <c r="B389" t="s">
        <v>102</v>
      </c>
      <c r="C389" t="s">
        <v>1125</v>
      </c>
      <c r="D389" t="s">
        <v>1126</v>
      </c>
      <c r="E389" t="s">
        <v>78</v>
      </c>
      <c r="F389">
        <v>2079</v>
      </c>
      <c r="G389" t="s">
        <v>17</v>
      </c>
      <c r="H389" t="s">
        <v>85</v>
      </c>
      <c r="I389" t="s">
        <v>19</v>
      </c>
      <c r="J389" t="s">
        <v>46</v>
      </c>
      <c r="K389" t="s">
        <v>69</v>
      </c>
      <c r="L389" t="s">
        <v>38</v>
      </c>
    </row>
    <row r="390" spans="1:12" x14ac:dyDescent="0.3">
      <c r="A390" t="s">
        <v>1127</v>
      </c>
      <c r="B390" t="s">
        <v>31</v>
      </c>
      <c r="C390" t="s">
        <v>1128</v>
      </c>
      <c r="D390" t="s">
        <v>1129</v>
      </c>
      <c r="E390" t="s">
        <v>34</v>
      </c>
      <c r="F390">
        <v>5690</v>
      </c>
      <c r="G390" t="s">
        <v>17</v>
      </c>
      <c r="H390" t="s">
        <v>18</v>
      </c>
      <c r="I390" t="s">
        <v>28</v>
      </c>
      <c r="J390" t="s">
        <v>46</v>
      </c>
      <c r="K390" t="s">
        <v>96</v>
      </c>
      <c r="L390" t="s">
        <v>38</v>
      </c>
    </row>
    <row r="391" spans="1:12" x14ac:dyDescent="0.3">
      <c r="A391" t="s">
        <v>1130</v>
      </c>
      <c r="B391" t="s">
        <v>606</v>
      </c>
      <c r="C391" t="s">
        <v>1131</v>
      </c>
      <c r="D391" t="s">
        <v>1007</v>
      </c>
      <c r="E391" t="s">
        <v>34</v>
      </c>
      <c r="F391">
        <v>9425</v>
      </c>
      <c r="G391" t="s">
        <v>63</v>
      </c>
      <c r="H391" t="s">
        <v>27</v>
      </c>
      <c r="I391" t="s">
        <v>19</v>
      </c>
      <c r="J391" t="s">
        <v>20</v>
      </c>
      <c r="K391" t="s">
        <v>37</v>
      </c>
      <c r="L391" t="s">
        <v>38</v>
      </c>
    </row>
    <row r="392" spans="1:12" x14ac:dyDescent="0.3">
      <c r="A392" t="s">
        <v>1132</v>
      </c>
      <c r="B392" t="s">
        <v>1133</v>
      </c>
      <c r="C392" t="s">
        <v>1134</v>
      </c>
      <c r="D392" t="s">
        <v>1135</v>
      </c>
      <c r="E392" t="s">
        <v>51</v>
      </c>
      <c r="F392">
        <v>14216</v>
      </c>
      <c r="G392" t="s">
        <v>44</v>
      </c>
      <c r="H392" t="s">
        <v>113</v>
      </c>
      <c r="I392" t="s">
        <v>19</v>
      </c>
      <c r="J392" t="s">
        <v>20</v>
      </c>
      <c r="K392" t="s">
        <v>29</v>
      </c>
      <c r="L392" t="s">
        <v>38</v>
      </c>
    </row>
    <row r="393" spans="1:12" x14ac:dyDescent="0.3">
      <c r="A393" t="s">
        <v>1136</v>
      </c>
      <c r="B393" t="s">
        <v>380</v>
      </c>
      <c r="C393" t="s">
        <v>1137</v>
      </c>
      <c r="D393" t="s">
        <v>578</v>
      </c>
      <c r="E393" t="s">
        <v>51</v>
      </c>
      <c r="F393">
        <v>5054</v>
      </c>
      <c r="G393" t="s">
        <v>35</v>
      </c>
      <c r="H393" t="s">
        <v>45</v>
      </c>
      <c r="I393" t="s">
        <v>28</v>
      </c>
      <c r="J393" t="s">
        <v>46</v>
      </c>
      <c r="K393" t="s">
        <v>37</v>
      </c>
      <c r="L393" t="s">
        <v>38</v>
      </c>
    </row>
    <row r="394" spans="1:12" x14ac:dyDescent="0.3">
      <c r="A394" t="s">
        <v>1138</v>
      </c>
      <c r="B394" t="s">
        <v>686</v>
      </c>
      <c r="C394" t="s">
        <v>1139</v>
      </c>
      <c r="D394" t="s">
        <v>815</v>
      </c>
      <c r="E394" t="s">
        <v>16</v>
      </c>
      <c r="F394">
        <v>8580</v>
      </c>
      <c r="G394" t="s">
        <v>63</v>
      </c>
      <c r="H394" t="s">
        <v>45</v>
      </c>
      <c r="I394" t="s">
        <v>28</v>
      </c>
      <c r="J394" t="s">
        <v>20</v>
      </c>
      <c r="K394" t="s">
        <v>37</v>
      </c>
      <c r="L394" t="s">
        <v>38</v>
      </c>
    </row>
    <row r="395" spans="1:12" x14ac:dyDescent="0.3">
      <c r="A395" t="s">
        <v>1140</v>
      </c>
      <c r="B395" t="s">
        <v>542</v>
      </c>
      <c r="C395" t="s">
        <v>1141</v>
      </c>
      <c r="D395" t="s">
        <v>824</v>
      </c>
      <c r="E395" t="s">
        <v>94</v>
      </c>
      <c r="F395">
        <v>5559</v>
      </c>
      <c r="G395" t="s">
        <v>63</v>
      </c>
      <c r="H395" t="s">
        <v>52</v>
      </c>
      <c r="I395" t="s">
        <v>28</v>
      </c>
      <c r="J395" t="s">
        <v>46</v>
      </c>
      <c r="K395" t="s">
        <v>80</v>
      </c>
      <c r="L395" t="s">
        <v>38</v>
      </c>
    </row>
    <row r="396" spans="1:12" x14ac:dyDescent="0.3">
      <c r="A396" t="s">
        <v>1142</v>
      </c>
      <c r="B396" t="s">
        <v>278</v>
      </c>
      <c r="C396" t="s">
        <v>1143</v>
      </c>
      <c r="D396" t="s">
        <v>495</v>
      </c>
      <c r="E396" t="s">
        <v>34</v>
      </c>
      <c r="F396">
        <v>2506</v>
      </c>
      <c r="G396" t="s">
        <v>44</v>
      </c>
      <c r="H396" t="s">
        <v>105</v>
      </c>
      <c r="I396" t="s">
        <v>28</v>
      </c>
      <c r="J396" t="s">
        <v>20</v>
      </c>
      <c r="K396" t="s">
        <v>80</v>
      </c>
      <c r="L396" t="s">
        <v>38</v>
      </c>
    </row>
    <row r="397" spans="1:12" x14ac:dyDescent="0.3">
      <c r="A397" t="s">
        <v>1144</v>
      </c>
      <c r="B397" t="s">
        <v>949</v>
      </c>
      <c r="C397" t="s">
        <v>1145</v>
      </c>
      <c r="D397" t="s">
        <v>166</v>
      </c>
      <c r="E397" t="s">
        <v>16</v>
      </c>
      <c r="F397">
        <v>23336</v>
      </c>
      <c r="G397" t="s">
        <v>63</v>
      </c>
      <c r="H397" t="s">
        <v>36</v>
      </c>
      <c r="I397" t="s">
        <v>28</v>
      </c>
      <c r="J397" t="s">
        <v>46</v>
      </c>
      <c r="K397" t="s">
        <v>57</v>
      </c>
      <c r="L397" t="s">
        <v>22</v>
      </c>
    </row>
    <row r="398" spans="1:12" x14ac:dyDescent="0.3">
      <c r="A398" t="s">
        <v>1146</v>
      </c>
      <c r="B398" t="s">
        <v>748</v>
      </c>
      <c r="C398" t="s">
        <v>1147</v>
      </c>
      <c r="D398" t="s">
        <v>1148</v>
      </c>
      <c r="E398" t="s">
        <v>62</v>
      </c>
      <c r="F398">
        <v>9422</v>
      </c>
      <c r="G398" t="s">
        <v>44</v>
      </c>
      <c r="H398" t="s">
        <v>27</v>
      </c>
      <c r="I398" t="s">
        <v>28</v>
      </c>
      <c r="J398" t="s">
        <v>95</v>
      </c>
      <c r="K398" t="s">
        <v>80</v>
      </c>
      <c r="L398" t="s">
        <v>38</v>
      </c>
    </row>
    <row r="399" spans="1:12" x14ac:dyDescent="0.3">
      <c r="A399" t="s">
        <v>1149</v>
      </c>
      <c r="B399" t="s">
        <v>102</v>
      </c>
      <c r="C399" t="s">
        <v>1150</v>
      </c>
      <c r="D399" t="s">
        <v>280</v>
      </c>
      <c r="E399" t="s">
        <v>62</v>
      </c>
      <c r="F399">
        <v>2835</v>
      </c>
      <c r="G399" t="s">
        <v>79</v>
      </c>
      <c r="H399" t="s">
        <v>113</v>
      </c>
      <c r="I399" t="s">
        <v>28</v>
      </c>
      <c r="J399" t="s">
        <v>20</v>
      </c>
      <c r="K399" t="s">
        <v>80</v>
      </c>
      <c r="L399" t="s">
        <v>38</v>
      </c>
    </row>
    <row r="400" spans="1:12" x14ac:dyDescent="0.3">
      <c r="A400" t="s">
        <v>1151</v>
      </c>
      <c r="B400" t="s">
        <v>580</v>
      </c>
      <c r="C400" t="s">
        <v>1152</v>
      </c>
      <c r="D400" t="s">
        <v>614</v>
      </c>
      <c r="E400" t="s">
        <v>94</v>
      </c>
      <c r="F400">
        <v>14788</v>
      </c>
      <c r="G400" t="s">
        <v>44</v>
      </c>
      <c r="H400" t="s">
        <v>45</v>
      </c>
      <c r="I400" t="s">
        <v>19</v>
      </c>
      <c r="J400" t="s">
        <v>20</v>
      </c>
      <c r="K400" t="s">
        <v>80</v>
      </c>
      <c r="L400" t="s">
        <v>38</v>
      </c>
    </row>
    <row r="401" spans="1:12" x14ac:dyDescent="0.3">
      <c r="A401" t="s">
        <v>1153</v>
      </c>
      <c r="B401" t="s">
        <v>256</v>
      </c>
      <c r="C401" t="s">
        <v>1154</v>
      </c>
      <c r="D401" t="s">
        <v>1155</v>
      </c>
      <c r="E401" t="s">
        <v>62</v>
      </c>
      <c r="F401">
        <v>5478</v>
      </c>
      <c r="G401" t="s">
        <v>68</v>
      </c>
      <c r="H401" t="s">
        <v>85</v>
      </c>
      <c r="I401" t="s">
        <v>19</v>
      </c>
      <c r="J401" t="s">
        <v>95</v>
      </c>
      <c r="K401" t="s">
        <v>57</v>
      </c>
      <c r="L401" t="s">
        <v>38</v>
      </c>
    </row>
    <row r="402" spans="1:12" x14ac:dyDescent="0.3">
      <c r="A402" t="s">
        <v>1156</v>
      </c>
      <c r="B402" t="s">
        <v>515</v>
      </c>
      <c r="C402" t="s">
        <v>1157</v>
      </c>
      <c r="D402" t="s">
        <v>702</v>
      </c>
      <c r="E402" t="s">
        <v>51</v>
      </c>
      <c r="F402">
        <v>10218</v>
      </c>
      <c r="G402" t="s">
        <v>44</v>
      </c>
      <c r="H402" t="s">
        <v>18</v>
      </c>
      <c r="I402" t="s">
        <v>28</v>
      </c>
      <c r="J402" t="s">
        <v>20</v>
      </c>
      <c r="K402" t="s">
        <v>21</v>
      </c>
      <c r="L402" t="s">
        <v>38</v>
      </c>
    </row>
    <row r="403" spans="1:12" x14ac:dyDescent="0.3">
      <c r="A403" t="s">
        <v>1158</v>
      </c>
      <c r="B403" t="s">
        <v>194</v>
      </c>
      <c r="C403" t="s">
        <v>1159</v>
      </c>
      <c r="D403" t="s">
        <v>427</v>
      </c>
      <c r="E403" t="s">
        <v>16</v>
      </c>
      <c r="F403">
        <v>39762</v>
      </c>
      <c r="G403" t="s">
        <v>44</v>
      </c>
      <c r="H403" t="s">
        <v>36</v>
      </c>
      <c r="I403" t="s">
        <v>28</v>
      </c>
      <c r="J403" t="s">
        <v>20</v>
      </c>
      <c r="K403" t="s">
        <v>29</v>
      </c>
      <c r="L403" t="s">
        <v>22</v>
      </c>
    </row>
    <row r="404" spans="1:12" x14ac:dyDescent="0.3">
      <c r="A404" t="s">
        <v>1160</v>
      </c>
      <c r="B404" t="s">
        <v>580</v>
      </c>
      <c r="C404" t="s">
        <v>1161</v>
      </c>
      <c r="D404" t="s">
        <v>1003</v>
      </c>
      <c r="E404" t="s">
        <v>94</v>
      </c>
      <c r="F404">
        <v>8038</v>
      </c>
      <c r="G404" t="s">
        <v>44</v>
      </c>
      <c r="H404" t="s">
        <v>105</v>
      </c>
      <c r="I404" t="s">
        <v>19</v>
      </c>
      <c r="J404" t="s">
        <v>20</v>
      </c>
      <c r="K404" t="s">
        <v>57</v>
      </c>
      <c r="L404" t="s">
        <v>38</v>
      </c>
    </row>
    <row r="405" spans="1:12" x14ac:dyDescent="0.3">
      <c r="A405" t="s">
        <v>1162</v>
      </c>
      <c r="B405" t="s">
        <v>224</v>
      </c>
      <c r="C405" t="s">
        <v>479</v>
      </c>
      <c r="D405" t="s">
        <v>1163</v>
      </c>
      <c r="E405" t="s">
        <v>51</v>
      </c>
      <c r="F405">
        <v>2812</v>
      </c>
      <c r="G405" t="s">
        <v>17</v>
      </c>
      <c r="H405" t="s">
        <v>36</v>
      </c>
      <c r="I405" t="s">
        <v>28</v>
      </c>
      <c r="J405" t="s">
        <v>20</v>
      </c>
      <c r="K405" t="s">
        <v>57</v>
      </c>
      <c r="L405" t="s">
        <v>38</v>
      </c>
    </row>
    <row r="406" spans="1:12" x14ac:dyDescent="0.3">
      <c r="A406" t="s">
        <v>1164</v>
      </c>
      <c r="B406" t="s">
        <v>333</v>
      </c>
      <c r="C406" t="s">
        <v>1165</v>
      </c>
      <c r="D406" t="s">
        <v>1013</v>
      </c>
      <c r="E406" t="s">
        <v>94</v>
      </c>
      <c r="F406">
        <v>668</v>
      </c>
      <c r="G406" t="s">
        <v>63</v>
      </c>
      <c r="H406" t="s">
        <v>45</v>
      </c>
      <c r="I406" t="s">
        <v>19</v>
      </c>
      <c r="J406" t="s">
        <v>46</v>
      </c>
      <c r="K406" t="s">
        <v>96</v>
      </c>
      <c r="L406" t="s">
        <v>38</v>
      </c>
    </row>
    <row r="407" spans="1:12" x14ac:dyDescent="0.3">
      <c r="A407" t="s">
        <v>1166</v>
      </c>
      <c r="B407" t="s">
        <v>532</v>
      </c>
      <c r="C407" t="s">
        <v>1167</v>
      </c>
      <c r="D407" t="s">
        <v>272</v>
      </c>
      <c r="E407" t="s">
        <v>94</v>
      </c>
      <c r="F407">
        <v>4126</v>
      </c>
      <c r="G407" t="s">
        <v>79</v>
      </c>
      <c r="H407" t="s">
        <v>113</v>
      </c>
      <c r="I407" t="s">
        <v>19</v>
      </c>
      <c r="J407" t="s">
        <v>46</v>
      </c>
      <c r="K407" t="s">
        <v>57</v>
      </c>
      <c r="L407" t="s">
        <v>38</v>
      </c>
    </row>
    <row r="408" spans="1:12" x14ac:dyDescent="0.3">
      <c r="A408" t="s">
        <v>1168</v>
      </c>
      <c r="B408" t="s">
        <v>31</v>
      </c>
      <c r="C408" t="s">
        <v>1169</v>
      </c>
      <c r="D408" t="s">
        <v>617</v>
      </c>
      <c r="E408" t="s">
        <v>62</v>
      </c>
      <c r="F408">
        <v>1119</v>
      </c>
      <c r="G408" t="s">
        <v>35</v>
      </c>
      <c r="H408" t="s">
        <v>45</v>
      </c>
      <c r="I408" t="s">
        <v>28</v>
      </c>
      <c r="J408" t="s">
        <v>46</v>
      </c>
      <c r="K408" t="s">
        <v>80</v>
      </c>
      <c r="L408" t="s">
        <v>38</v>
      </c>
    </row>
    <row r="409" spans="1:12" x14ac:dyDescent="0.3">
      <c r="A409" t="s">
        <v>1170</v>
      </c>
      <c r="B409" t="s">
        <v>389</v>
      </c>
      <c r="C409" t="s">
        <v>1171</v>
      </c>
      <c r="D409" t="s">
        <v>1092</v>
      </c>
      <c r="E409" t="s">
        <v>34</v>
      </c>
      <c r="F409">
        <v>8081</v>
      </c>
      <c r="G409" t="s">
        <v>35</v>
      </c>
      <c r="H409" t="s">
        <v>36</v>
      </c>
      <c r="I409" t="s">
        <v>19</v>
      </c>
      <c r="J409" t="s">
        <v>20</v>
      </c>
      <c r="K409" t="s">
        <v>29</v>
      </c>
      <c r="L409" t="s">
        <v>38</v>
      </c>
    </row>
    <row r="410" spans="1:12" x14ac:dyDescent="0.3">
      <c r="A410" t="s">
        <v>1172</v>
      </c>
      <c r="B410" t="s">
        <v>474</v>
      </c>
      <c r="C410" t="s">
        <v>564</v>
      </c>
      <c r="D410" t="s">
        <v>511</v>
      </c>
      <c r="E410" t="s">
        <v>78</v>
      </c>
      <c r="F410">
        <v>409</v>
      </c>
      <c r="G410" t="s">
        <v>44</v>
      </c>
      <c r="H410" t="s">
        <v>105</v>
      </c>
      <c r="I410" t="s">
        <v>28</v>
      </c>
      <c r="J410" t="s">
        <v>20</v>
      </c>
      <c r="K410" t="s">
        <v>80</v>
      </c>
      <c r="L410" t="s">
        <v>38</v>
      </c>
    </row>
    <row r="411" spans="1:12" x14ac:dyDescent="0.3">
      <c r="A411" t="s">
        <v>1173</v>
      </c>
      <c r="B411" t="s">
        <v>887</v>
      </c>
      <c r="C411" t="s">
        <v>558</v>
      </c>
      <c r="D411" t="s">
        <v>1174</v>
      </c>
      <c r="E411" t="s">
        <v>94</v>
      </c>
      <c r="F411">
        <v>9780</v>
      </c>
      <c r="G411" t="s">
        <v>68</v>
      </c>
      <c r="H411" t="s">
        <v>105</v>
      </c>
      <c r="I411" t="s">
        <v>19</v>
      </c>
      <c r="J411" t="s">
        <v>20</v>
      </c>
      <c r="K411" t="s">
        <v>80</v>
      </c>
      <c r="L411" t="s">
        <v>38</v>
      </c>
    </row>
    <row r="412" spans="1:12" x14ac:dyDescent="0.3">
      <c r="A412" t="s">
        <v>1175</v>
      </c>
      <c r="B412" t="s">
        <v>539</v>
      </c>
      <c r="C412" t="s">
        <v>1176</v>
      </c>
      <c r="D412" t="s">
        <v>137</v>
      </c>
      <c r="E412" t="s">
        <v>51</v>
      </c>
      <c r="F412">
        <v>2074</v>
      </c>
      <c r="G412" t="s">
        <v>17</v>
      </c>
      <c r="H412" t="s">
        <v>27</v>
      </c>
      <c r="I412" t="s">
        <v>19</v>
      </c>
      <c r="J412" t="s">
        <v>95</v>
      </c>
      <c r="K412" t="s">
        <v>37</v>
      </c>
      <c r="L412" t="s">
        <v>38</v>
      </c>
    </row>
    <row r="413" spans="1:12" x14ac:dyDescent="0.3">
      <c r="A413" t="s">
        <v>1177</v>
      </c>
      <c r="B413" t="s">
        <v>522</v>
      </c>
      <c r="C413" t="s">
        <v>1178</v>
      </c>
      <c r="D413" t="s">
        <v>1179</v>
      </c>
      <c r="E413" t="s">
        <v>16</v>
      </c>
      <c r="F413">
        <v>88197</v>
      </c>
      <c r="G413" t="s">
        <v>68</v>
      </c>
      <c r="H413" t="s">
        <v>18</v>
      </c>
      <c r="I413" t="s">
        <v>19</v>
      </c>
      <c r="J413" t="s">
        <v>20</v>
      </c>
      <c r="K413" t="s">
        <v>37</v>
      </c>
      <c r="L413" t="s">
        <v>22</v>
      </c>
    </row>
    <row r="414" spans="1:12" x14ac:dyDescent="0.3">
      <c r="A414" t="s">
        <v>1180</v>
      </c>
      <c r="B414" t="s">
        <v>542</v>
      </c>
      <c r="C414" t="s">
        <v>1181</v>
      </c>
      <c r="D414" t="s">
        <v>228</v>
      </c>
      <c r="E414" t="s">
        <v>34</v>
      </c>
      <c r="F414">
        <v>10027</v>
      </c>
      <c r="G414" t="s">
        <v>17</v>
      </c>
      <c r="H414" t="s">
        <v>27</v>
      </c>
      <c r="I414" t="s">
        <v>28</v>
      </c>
      <c r="J414" t="s">
        <v>46</v>
      </c>
      <c r="K414" t="s">
        <v>80</v>
      </c>
      <c r="L414" t="s">
        <v>38</v>
      </c>
    </row>
    <row r="415" spans="1:12" x14ac:dyDescent="0.3">
      <c r="A415" t="s">
        <v>1182</v>
      </c>
      <c r="B415" t="s">
        <v>443</v>
      </c>
      <c r="C415" t="s">
        <v>840</v>
      </c>
      <c r="D415" t="s">
        <v>454</v>
      </c>
      <c r="E415" t="s">
        <v>78</v>
      </c>
      <c r="F415">
        <v>9030</v>
      </c>
      <c r="G415" t="s">
        <v>68</v>
      </c>
      <c r="H415" t="s">
        <v>85</v>
      </c>
      <c r="I415" t="s">
        <v>28</v>
      </c>
      <c r="J415" t="s">
        <v>95</v>
      </c>
      <c r="K415" t="s">
        <v>29</v>
      </c>
      <c r="L415" t="s">
        <v>38</v>
      </c>
    </row>
    <row r="416" spans="1:12" x14ac:dyDescent="0.3">
      <c r="A416" t="s">
        <v>1183</v>
      </c>
      <c r="B416" t="s">
        <v>755</v>
      </c>
      <c r="C416" t="s">
        <v>1184</v>
      </c>
      <c r="D416" t="s">
        <v>578</v>
      </c>
      <c r="E416" t="s">
        <v>34</v>
      </c>
      <c r="F416">
        <v>14908</v>
      </c>
      <c r="G416" t="s">
        <v>79</v>
      </c>
      <c r="H416" t="s">
        <v>85</v>
      </c>
      <c r="I416" t="s">
        <v>19</v>
      </c>
      <c r="J416" t="s">
        <v>95</v>
      </c>
      <c r="K416" t="s">
        <v>96</v>
      </c>
      <c r="L416" t="s">
        <v>38</v>
      </c>
    </row>
    <row r="417" spans="1:12" x14ac:dyDescent="0.3">
      <c r="A417" t="s">
        <v>1185</v>
      </c>
      <c r="B417" t="s">
        <v>960</v>
      </c>
      <c r="C417" t="s">
        <v>1186</v>
      </c>
      <c r="D417" t="s">
        <v>951</v>
      </c>
      <c r="E417" t="s">
        <v>94</v>
      </c>
      <c r="F417">
        <v>1709</v>
      </c>
      <c r="G417" t="s">
        <v>68</v>
      </c>
      <c r="H417" t="s">
        <v>52</v>
      </c>
      <c r="I417" t="s">
        <v>28</v>
      </c>
      <c r="J417" t="s">
        <v>20</v>
      </c>
      <c r="K417" t="s">
        <v>57</v>
      </c>
      <c r="L417" t="s">
        <v>38</v>
      </c>
    </row>
    <row r="418" spans="1:12" x14ac:dyDescent="0.3">
      <c r="A418" t="s">
        <v>1187</v>
      </c>
      <c r="B418" t="s">
        <v>404</v>
      </c>
      <c r="C418" t="s">
        <v>1188</v>
      </c>
      <c r="D418" t="s">
        <v>358</v>
      </c>
      <c r="E418" t="s">
        <v>34</v>
      </c>
      <c r="F418">
        <v>14371</v>
      </c>
      <c r="G418" t="s">
        <v>68</v>
      </c>
      <c r="H418" t="s">
        <v>45</v>
      </c>
      <c r="I418" t="s">
        <v>28</v>
      </c>
      <c r="J418" t="s">
        <v>46</v>
      </c>
      <c r="K418" t="s">
        <v>80</v>
      </c>
      <c r="L418" t="s">
        <v>38</v>
      </c>
    </row>
    <row r="419" spans="1:12" x14ac:dyDescent="0.3">
      <c r="A419" t="s">
        <v>1189</v>
      </c>
      <c r="B419" t="s">
        <v>1190</v>
      </c>
      <c r="C419" t="s">
        <v>1191</v>
      </c>
      <c r="D419" t="s">
        <v>246</v>
      </c>
      <c r="E419" t="s">
        <v>43</v>
      </c>
      <c r="F419">
        <v>14636</v>
      </c>
      <c r="G419" t="s">
        <v>17</v>
      </c>
      <c r="H419" t="s">
        <v>113</v>
      </c>
      <c r="I419" t="s">
        <v>28</v>
      </c>
      <c r="J419" t="s">
        <v>20</v>
      </c>
      <c r="K419" t="s">
        <v>37</v>
      </c>
      <c r="L419" t="s">
        <v>38</v>
      </c>
    </row>
    <row r="420" spans="1:12" x14ac:dyDescent="0.3">
      <c r="A420" t="s">
        <v>1192</v>
      </c>
      <c r="B420" t="s">
        <v>490</v>
      </c>
      <c r="C420" t="s">
        <v>1193</v>
      </c>
      <c r="D420" t="s">
        <v>288</v>
      </c>
      <c r="E420" t="s">
        <v>62</v>
      </c>
      <c r="F420">
        <v>12060</v>
      </c>
      <c r="G420" t="s">
        <v>17</v>
      </c>
      <c r="H420" t="s">
        <v>18</v>
      </c>
      <c r="I420" t="s">
        <v>28</v>
      </c>
      <c r="J420" t="s">
        <v>46</v>
      </c>
      <c r="K420" t="s">
        <v>57</v>
      </c>
      <c r="L420" t="s">
        <v>38</v>
      </c>
    </row>
    <row r="421" spans="1:12" x14ac:dyDescent="0.3">
      <c r="A421" t="s">
        <v>1194</v>
      </c>
      <c r="B421" t="s">
        <v>592</v>
      </c>
      <c r="C421" t="s">
        <v>838</v>
      </c>
      <c r="D421" t="s">
        <v>84</v>
      </c>
      <c r="E421" t="s">
        <v>34</v>
      </c>
      <c r="F421">
        <v>11353</v>
      </c>
      <c r="G421" t="s">
        <v>63</v>
      </c>
      <c r="H421" t="s">
        <v>113</v>
      </c>
      <c r="I421" t="s">
        <v>19</v>
      </c>
      <c r="J421" t="s">
        <v>46</v>
      </c>
      <c r="K421" t="s">
        <v>29</v>
      </c>
      <c r="L421" t="s">
        <v>38</v>
      </c>
    </row>
    <row r="422" spans="1:12" x14ac:dyDescent="0.3">
      <c r="A422" t="s">
        <v>1195</v>
      </c>
      <c r="B422" t="s">
        <v>681</v>
      </c>
      <c r="C422" t="s">
        <v>1196</v>
      </c>
      <c r="D422" t="s">
        <v>635</v>
      </c>
      <c r="E422" t="s">
        <v>43</v>
      </c>
      <c r="F422">
        <v>13883</v>
      </c>
      <c r="G422" t="s">
        <v>79</v>
      </c>
      <c r="H422" t="s">
        <v>85</v>
      </c>
      <c r="I422" t="s">
        <v>28</v>
      </c>
      <c r="J422" t="s">
        <v>46</v>
      </c>
      <c r="K422" t="s">
        <v>29</v>
      </c>
      <c r="L422" t="s">
        <v>38</v>
      </c>
    </row>
    <row r="423" spans="1:12" x14ac:dyDescent="0.3">
      <c r="A423" t="s">
        <v>1197</v>
      </c>
      <c r="B423" t="s">
        <v>274</v>
      </c>
      <c r="C423" t="s">
        <v>185</v>
      </c>
      <c r="D423" t="s">
        <v>897</v>
      </c>
      <c r="E423" t="s">
        <v>34</v>
      </c>
      <c r="F423">
        <v>10066</v>
      </c>
      <c r="G423" t="s">
        <v>68</v>
      </c>
      <c r="H423" t="s">
        <v>113</v>
      </c>
      <c r="I423" t="s">
        <v>28</v>
      </c>
      <c r="J423" t="s">
        <v>95</v>
      </c>
      <c r="K423" t="s">
        <v>57</v>
      </c>
      <c r="L423" t="s">
        <v>38</v>
      </c>
    </row>
    <row r="424" spans="1:12" x14ac:dyDescent="0.3">
      <c r="A424" t="s">
        <v>1198</v>
      </c>
      <c r="B424" t="s">
        <v>194</v>
      </c>
      <c r="C424" t="s">
        <v>1199</v>
      </c>
      <c r="D424" t="s">
        <v>314</v>
      </c>
      <c r="E424" t="s">
        <v>94</v>
      </c>
      <c r="F424">
        <v>1087</v>
      </c>
      <c r="G424" t="s">
        <v>79</v>
      </c>
      <c r="H424" t="s">
        <v>27</v>
      </c>
      <c r="I424" t="s">
        <v>28</v>
      </c>
      <c r="J424" t="s">
        <v>46</v>
      </c>
      <c r="K424" t="s">
        <v>21</v>
      </c>
      <c r="L424" t="s">
        <v>38</v>
      </c>
    </row>
    <row r="425" spans="1:12" x14ac:dyDescent="0.3">
      <c r="A425" t="s">
        <v>1200</v>
      </c>
      <c r="B425" t="s">
        <v>347</v>
      </c>
      <c r="C425" t="s">
        <v>1015</v>
      </c>
      <c r="D425" t="s">
        <v>556</v>
      </c>
      <c r="E425" t="s">
        <v>94</v>
      </c>
      <c r="F425">
        <v>1610</v>
      </c>
      <c r="G425" t="s">
        <v>63</v>
      </c>
      <c r="H425" t="s">
        <v>85</v>
      </c>
      <c r="I425" t="s">
        <v>28</v>
      </c>
      <c r="J425" t="s">
        <v>95</v>
      </c>
      <c r="K425" t="s">
        <v>80</v>
      </c>
      <c r="L425" t="s">
        <v>38</v>
      </c>
    </row>
    <row r="426" spans="1:12" x14ac:dyDescent="0.3">
      <c r="A426" t="s">
        <v>1201</v>
      </c>
      <c r="B426" t="s">
        <v>820</v>
      </c>
      <c r="C426" t="s">
        <v>1202</v>
      </c>
      <c r="D426" t="s">
        <v>729</v>
      </c>
      <c r="E426" t="s">
        <v>43</v>
      </c>
      <c r="F426">
        <v>13796</v>
      </c>
      <c r="G426" t="s">
        <v>17</v>
      </c>
      <c r="H426" t="s">
        <v>113</v>
      </c>
      <c r="I426" t="s">
        <v>28</v>
      </c>
      <c r="J426" t="s">
        <v>95</v>
      </c>
      <c r="K426" t="s">
        <v>69</v>
      </c>
      <c r="L426" t="s">
        <v>38</v>
      </c>
    </row>
    <row r="427" spans="1:12" x14ac:dyDescent="0.3">
      <c r="A427" t="s">
        <v>1203</v>
      </c>
      <c r="B427" t="s">
        <v>143</v>
      </c>
      <c r="C427" t="s">
        <v>1204</v>
      </c>
      <c r="D427" t="s">
        <v>162</v>
      </c>
      <c r="E427" t="s">
        <v>16</v>
      </c>
      <c r="F427">
        <v>84441</v>
      </c>
      <c r="G427" t="s">
        <v>35</v>
      </c>
      <c r="H427" t="s">
        <v>52</v>
      </c>
      <c r="I427" t="s">
        <v>19</v>
      </c>
      <c r="J427" t="s">
        <v>20</v>
      </c>
      <c r="K427" t="s">
        <v>21</v>
      </c>
      <c r="L427" t="s">
        <v>22</v>
      </c>
    </row>
    <row r="428" spans="1:12" x14ac:dyDescent="0.3">
      <c r="A428" t="s">
        <v>1205</v>
      </c>
      <c r="B428" t="s">
        <v>1030</v>
      </c>
      <c r="C428" t="s">
        <v>1206</v>
      </c>
      <c r="D428" t="s">
        <v>1010</v>
      </c>
      <c r="E428" t="s">
        <v>43</v>
      </c>
      <c r="F428">
        <v>6657</v>
      </c>
      <c r="G428" t="s">
        <v>17</v>
      </c>
      <c r="H428" t="s">
        <v>85</v>
      </c>
      <c r="I428" t="s">
        <v>19</v>
      </c>
      <c r="J428" t="s">
        <v>46</v>
      </c>
      <c r="K428" t="s">
        <v>69</v>
      </c>
      <c r="L428" t="s">
        <v>38</v>
      </c>
    </row>
    <row r="429" spans="1:12" x14ac:dyDescent="0.3">
      <c r="A429" t="s">
        <v>1207</v>
      </c>
      <c r="B429" t="s">
        <v>393</v>
      </c>
      <c r="C429" t="s">
        <v>405</v>
      </c>
      <c r="D429" t="s">
        <v>654</v>
      </c>
      <c r="E429" t="s">
        <v>43</v>
      </c>
      <c r="F429">
        <v>8198</v>
      </c>
      <c r="G429" t="s">
        <v>68</v>
      </c>
      <c r="H429" t="s">
        <v>105</v>
      </c>
      <c r="I429" t="s">
        <v>19</v>
      </c>
      <c r="J429" t="s">
        <v>46</v>
      </c>
      <c r="K429" t="s">
        <v>69</v>
      </c>
      <c r="L429" t="s">
        <v>38</v>
      </c>
    </row>
    <row r="430" spans="1:12" x14ac:dyDescent="0.3">
      <c r="A430" t="s">
        <v>1208</v>
      </c>
      <c r="B430" t="s">
        <v>176</v>
      </c>
      <c r="C430" t="s">
        <v>1209</v>
      </c>
      <c r="D430" t="s">
        <v>192</v>
      </c>
      <c r="E430" t="s">
        <v>16</v>
      </c>
      <c r="F430">
        <v>10495</v>
      </c>
      <c r="G430" t="s">
        <v>68</v>
      </c>
      <c r="H430" t="s">
        <v>85</v>
      </c>
      <c r="I430" t="s">
        <v>28</v>
      </c>
      <c r="J430" t="s">
        <v>95</v>
      </c>
      <c r="K430" t="s">
        <v>37</v>
      </c>
      <c r="L430" t="s">
        <v>38</v>
      </c>
    </row>
    <row r="431" spans="1:12" x14ac:dyDescent="0.3">
      <c r="A431" t="s">
        <v>1210</v>
      </c>
      <c r="B431" t="s">
        <v>507</v>
      </c>
      <c r="C431" t="s">
        <v>586</v>
      </c>
      <c r="D431" t="s">
        <v>93</v>
      </c>
      <c r="E431" t="s">
        <v>94</v>
      </c>
      <c r="F431">
        <v>5489</v>
      </c>
      <c r="G431" t="s">
        <v>63</v>
      </c>
      <c r="H431" t="s">
        <v>85</v>
      </c>
      <c r="I431" t="s">
        <v>19</v>
      </c>
      <c r="J431" t="s">
        <v>95</v>
      </c>
      <c r="K431" t="s">
        <v>96</v>
      </c>
      <c r="L431" t="s">
        <v>38</v>
      </c>
    </row>
    <row r="432" spans="1:12" x14ac:dyDescent="0.3">
      <c r="A432" t="s">
        <v>1211</v>
      </c>
      <c r="B432" t="s">
        <v>768</v>
      </c>
      <c r="C432" t="s">
        <v>1212</v>
      </c>
      <c r="D432" t="s">
        <v>916</v>
      </c>
      <c r="E432" t="s">
        <v>16</v>
      </c>
      <c r="F432">
        <v>66548</v>
      </c>
      <c r="G432" t="s">
        <v>17</v>
      </c>
      <c r="H432" t="s">
        <v>18</v>
      </c>
      <c r="I432" t="s">
        <v>19</v>
      </c>
      <c r="J432" t="s">
        <v>46</v>
      </c>
      <c r="K432" t="s">
        <v>29</v>
      </c>
      <c r="L432" t="s">
        <v>22</v>
      </c>
    </row>
    <row r="433" spans="1:12" x14ac:dyDescent="0.3">
      <c r="A433" t="s">
        <v>1213</v>
      </c>
      <c r="B433" t="s">
        <v>1045</v>
      </c>
      <c r="C433" t="s">
        <v>1214</v>
      </c>
      <c r="D433" t="s">
        <v>258</v>
      </c>
      <c r="E433" t="s">
        <v>43</v>
      </c>
      <c r="F433">
        <v>12215</v>
      </c>
      <c r="G433" t="s">
        <v>17</v>
      </c>
      <c r="H433" t="s">
        <v>27</v>
      </c>
      <c r="I433" t="s">
        <v>19</v>
      </c>
      <c r="J433" t="s">
        <v>46</v>
      </c>
      <c r="K433" t="s">
        <v>96</v>
      </c>
      <c r="L433" t="s">
        <v>38</v>
      </c>
    </row>
    <row r="434" spans="1:12" x14ac:dyDescent="0.3">
      <c r="A434" t="s">
        <v>1215</v>
      </c>
      <c r="B434" t="s">
        <v>40</v>
      </c>
      <c r="C434" t="s">
        <v>1216</v>
      </c>
      <c r="D434" t="s">
        <v>166</v>
      </c>
      <c r="E434" t="s">
        <v>94</v>
      </c>
      <c r="F434">
        <v>12852</v>
      </c>
      <c r="G434" t="s">
        <v>63</v>
      </c>
      <c r="H434" t="s">
        <v>36</v>
      </c>
      <c r="I434" t="s">
        <v>19</v>
      </c>
      <c r="J434" t="s">
        <v>46</v>
      </c>
      <c r="K434" t="s">
        <v>80</v>
      </c>
      <c r="L434" t="s">
        <v>38</v>
      </c>
    </row>
    <row r="435" spans="1:12" x14ac:dyDescent="0.3">
      <c r="A435" t="s">
        <v>1217</v>
      </c>
      <c r="B435" t="s">
        <v>31</v>
      </c>
      <c r="C435" t="s">
        <v>1218</v>
      </c>
      <c r="D435" t="s">
        <v>378</v>
      </c>
      <c r="E435" t="s">
        <v>16</v>
      </c>
      <c r="F435">
        <v>79048</v>
      </c>
      <c r="G435" t="s">
        <v>17</v>
      </c>
      <c r="H435" t="s">
        <v>105</v>
      </c>
      <c r="I435" t="s">
        <v>19</v>
      </c>
      <c r="J435" t="s">
        <v>20</v>
      </c>
      <c r="K435" t="s">
        <v>21</v>
      </c>
      <c r="L435" t="s">
        <v>22</v>
      </c>
    </row>
    <row r="436" spans="1:12" x14ac:dyDescent="0.3">
      <c r="A436" t="s">
        <v>1219</v>
      </c>
      <c r="B436" t="s">
        <v>187</v>
      </c>
      <c r="C436" t="s">
        <v>1220</v>
      </c>
      <c r="D436" t="s">
        <v>61</v>
      </c>
      <c r="E436" t="s">
        <v>94</v>
      </c>
      <c r="F436">
        <v>8378</v>
      </c>
      <c r="G436" t="s">
        <v>63</v>
      </c>
      <c r="H436" t="s">
        <v>113</v>
      </c>
      <c r="I436" t="s">
        <v>19</v>
      </c>
      <c r="J436" t="s">
        <v>95</v>
      </c>
      <c r="K436" t="s">
        <v>57</v>
      </c>
      <c r="L436" t="s">
        <v>38</v>
      </c>
    </row>
    <row r="437" spans="1:12" x14ac:dyDescent="0.3">
      <c r="A437" t="s">
        <v>1221</v>
      </c>
      <c r="B437" t="s">
        <v>1222</v>
      </c>
      <c r="C437" t="s">
        <v>1223</v>
      </c>
      <c r="D437" t="s">
        <v>631</v>
      </c>
      <c r="E437" t="s">
        <v>51</v>
      </c>
      <c r="F437">
        <v>5323</v>
      </c>
      <c r="G437" t="s">
        <v>44</v>
      </c>
      <c r="H437" t="s">
        <v>27</v>
      </c>
      <c r="I437" t="s">
        <v>28</v>
      </c>
      <c r="J437" t="s">
        <v>46</v>
      </c>
      <c r="K437" t="s">
        <v>57</v>
      </c>
      <c r="L437" t="s">
        <v>38</v>
      </c>
    </row>
    <row r="438" spans="1:12" x14ac:dyDescent="0.3">
      <c r="A438" t="s">
        <v>1224</v>
      </c>
      <c r="B438" t="s">
        <v>443</v>
      </c>
      <c r="C438" t="s">
        <v>1225</v>
      </c>
      <c r="D438" t="s">
        <v>524</v>
      </c>
      <c r="E438" t="s">
        <v>51</v>
      </c>
      <c r="F438">
        <v>2235</v>
      </c>
      <c r="G438" t="s">
        <v>63</v>
      </c>
      <c r="H438" t="s">
        <v>52</v>
      </c>
      <c r="I438" t="s">
        <v>28</v>
      </c>
      <c r="J438" t="s">
        <v>95</v>
      </c>
      <c r="K438" t="s">
        <v>80</v>
      </c>
      <c r="L438" t="s">
        <v>38</v>
      </c>
    </row>
    <row r="439" spans="1:12" x14ac:dyDescent="0.3">
      <c r="A439" t="s">
        <v>1226</v>
      </c>
      <c r="B439" t="s">
        <v>91</v>
      </c>
      <c r="C439" t="s">
        <v>1227</v>
      </c>
      <c r="D439" t="s">
        <v>211</v>
      </c>
      <c r="E439" t="s">
        <v>16</v>
      </c>
      <c r="F439">
        <v>3341</v>
      </c>
      <c r="G439" t="s">
        <v>63</v>
      </c>
      <c r="H439" t="s">
        <v>45</v>
      </c>
      <c r="I439" t="s">
        <v>19</v>
      </c>
      <c r="J439" t="s">
        <v>95</v>
      </c>
      <c r="K439" t="s">
        <v>80</v>
      </c>
      <c r="L439" t="s">
        <v>38</v>
      </c>
    </row>
    <row r="440" spans="1:12" x14ac:dyDescent="0.3">
      <c r="A440" t="s">
        <v>1228</v>
      </c>
      <c r="B440" t="s">
        <v>325</v>
      </c>
      <c r="C440" t="s">
        <v>1229</v>
      </c>
      <c r="D440" t="s">
        <v>93</v>
      </c>
      <c r="E440" t="s">
        <v>94</v>
      </c>
      <c r="F440">
        <v>11425</v>
      </c>
      <c r="G440" t="s">
        <v>79</v>
      </c>
      <c r="H440" t="s">
        <v>45</v>
      </c>
      <c r="I440" t="s">
        <v>28</v>
      </c>
      <c r="J440" t="s">
        <v>20</v>
      </c>
      <c r="K440" t="s">
        <v>21</v>
      </c>
      <c r="L440" t="s">
        <v>38</v>
      </c>
    </row>
    <row r="441" spans="1:12" x14ac:dyDescent="0.3">
      <c r="A441" t="s">
        <v>1230</v>
      </c>
      <c r="B441" t="s">
        <v>220</v>
      </c>
      <c r="C441" t="s">
        <v>1231</v>
      </c>
      <c r="D441" t="s">
        <v>73</v>
      </c>
      <c r="E441" t="s">
        <v>34</v>
      </c>
      <c r="F441">
        <v>11096</v>
      </c>
      <c r="G441" t="s">
        <v>17</v>
      </c>
      <c r="H441" t="s">
        <v>105</v>
      </c>
      <c r="I441" t="s">
        <v>19</v>
      </c>
      <c r="J441" t="s">
        <v>46</v>
      </c>
      <c r="K441" t="s">
        <v>96</v>
      </c>
      <c r="L441" t="s">
        <v>38</v>
      </c>
    </row>
    <row r="442" spans="1:12" x14ac:dyDescent="0.3">
      <c r="A442" t="s">
        <v>1232</v>
      </c>
      <c r="B442" t="s">
        <v>547</v>
      </c>
      <c r="C442" t="s">
        <v>530</v>
      </c>
      <c r="D442" t="s">
        <v>502</v>
      </c>
      <c r="E442" t="s">
        <v>16</v>
      </c>
      <c r="F442">
        <v>27419</v>
      </c>
      <c r="G442" t="s">
        <v>44</v>
      </c>
      <c r="H442" t="s">
        <v>113</v>
      </c>
      <c r="I442" t="s">
        <v>28</v>
      </c>
      <c r="J442" t="s">
        <v>46</v>
      </c>
      <c r="K442" t="s">
        <v>80</v>
      </c>
      <c r="L442" t="s">
        <v>22</v>
      </c>
    </row>
    <row r="443" spans="1:12" x14ac:dyDescent="0.3">
      <c r="A443" t="s">
        <v>1233</v>
      </c>
      <c r="B443" t="s">
        <v>547</v>
      </c>
      <c r="C443" t="s">
        <v>1234</v>
      </c>
      <c r="D443" t="s">
        <v>117</v>
      </c>
      <c r="E443" t="s">
        <v>78</v>
      </c>
      <c r="F443">
        <v>11364</v>
      </c>
      <c r="G443" t="s">
        <v>79</v>
      </c>
      <c r="H443" t="s">
        <v>45</v>
      </c>
      <c r="I443" t="s">
        <v>28</v>
      </c>
      <c r="J443" t="s">
        <v>95</v>
      </c>
      <c r="K443" t="s">
        <v>96</v>
      </c>
      <c r="L443" t="s">
        <v>38</v>
      </c>
    </row>
    <row r="444" spans="1:12" x14ac:dyDescent="0.3">
      <c r="A444" t="s">
        <v>1235</v>
      </c>
      <c r="B444" t="s">
        <v>230</v>
      </c>
      <c r="C444" t="s">
        <v>1236</v>
      </c>
      <c r="D444" t="s">
        <v>409</v>
      </c>
      <c r="E444" t="s">
        <v>94</v>
      </c>
      <c r="F444">
        <v>14219</v>
      </c>
      <c r="G444" t="s">
        <v>63</v>
      </c>
      <c r="H444" t="s">
        <v>36</v>
      </c>
      <c r="I444" t="s">
        <v>19</v>
      </c>
      <c r="J444" t="s">
        <v>95</v>
      </c>
      <c r="K444" t="s">
        <v>21</v>
      </c>
      <c r="L444" t="s">
        <v>38</v>
      </c>
    </row>
    <row r="445" spans="1:12" x14ac:dyDescent="0.3">
      <c r="A445" t="s">
        <v>1237</v>
      </c>
      <c r="B445" t="s">
        <v>248</v>
      </c>
      <c r="C445" t="s">
        <v>1238</v>
      </c>
      <c r="D445" t="s">
        <v>50</v>
      </c>
      <c r="E445" t="s">
        <v>51</v>
      </c>
      <c r="F445">
        <v>819</v>
      </c>
      <c r="G445" t="s">
        <v>63</v>
      </c>
      <c r="H445" t="s">
        <v>45</v>
      </c>
      <c r="I445" t="s">
        <v>19</v>
      </c>
      <c r="J445" t="s">
        <v>46</v>
      </c>
      <c r="K445" t="s">
        <v>96</v>
      </c>
      <c r="L445" t="s">
        <v>38</v>
      </c>
    </row>
    <row r="446" spans="1:12" x14ac:dyDescent="0.3">
      <c r="A446" t="s">
        <v>1239</v>
      </c>
      <c r="B446" t="s">
        <v>1240</v>
      </c>
      <c r="C446" t="s">
        <v>1241</v>
      </c>
      <c r="D446" t="s">
        <v>391</v>
      </c>
      <c r="E446" t="s">
        <v>34</v>
      </c>
      <c r="F446">
        <v>14285</v>
      </c>
      <c r="G446" t="s">
        <v>63</v>
      </c>
      <c r="H446" t="s">
        <v>45</v>
      </c>
      <c r="I446" t="s">
        <v>19</v>
      </c>
      <c r="J446" t="s">
        <v>20</v>
      </c>
      <c r="K446" t="s">
        <v>69</v>
      </c>
      <c r="L446" t="s">
        <v>38</v>
      </c>
    </row>
    <row r="447" spans="1:12" x14ac:dyDescent="0.3">
      <c r="A447" t="s">
        <v>1242</v>
      </c>
      <c r="B447" t="s">
        <v>202</v>
      </c>
      <c r="C447" t="s">
        <v>1243</v>
      </c>
      <c r="D447" t="s">
        <v>117</v>
      </c>
      <c r="E447" t="s">
        <v>78</v>
      </c>
      <c r="F447">
        <v>2956</v>
      </c>
      <c r="G447" t="s">
        <v>17</v>
      </c>
      <c r="H447" t="s">
        <v>18</v>
      </c>
      <c r="I447" t="s">
        <v>28</v>
      </c>
      <c r="J447" t="s">
        <v>20</v>
      </c>
      <c r="K447" t="s">
        <v>96</v>
      </c>
      <c r="L447" t="s">
        <v>38</v>
      </c>
    </row>
    <row r="448" spans="1:12" x14ac:dyDescent="0.3">
      <c r="A448" t="s">
        <v>1244</v>
      </c>
      <c r="B448" t="s">
        <v>139</v>
      </c>
      <c r="C448" t="s">
        <v>381</v>
      </c>
      <c r="D448" t="s">
        <v>537</v>
      </c>
      <c r="E448" t="s">
        <v>16</v>
      </c>
      <c r="F448">
        <v>2181</v>
      </c>
      <c r="G448" t="s">
        <v>35</v>
      </c>
      <c r="H448" t="s">
        <v>45</v>
      </c>
      <c r="I448" t="s">
        <v>28</v>
      </c>
      <c r="J448" t="s">
        <v>46</v>
      </c>
      <c r="K448" t="s">
        <v>80</v>
      </c>
      <c r="L448" t="s">
        <v>38</v>
      </c>
    </row>
    <row r="449" spans="1:12" x14ac:dyDescent="0.3">
      <c r="A449" t="s">
        <v>1245</v>
      </c>
      <c r="B449" t="s">
        <v>535</v>
      </c>
      <c r="C449" t="s">
        <v>1246</v>
      </c>
      <c r="D449" t="s">
        <v>77</v>
      </c>
      <c r="E449" t="s">
        <v>34</v>
      </c>
      <c r="F449">
        <v>5335</v>
      </c>
      <c r="G449" t="s">
        <v>79</v>
      </c>
      <c r="H449" t="s">
        <v>52</v>
      </c>
      <c r="I449" t="s">
        <v>28</v>
      </c>
      <c r="J449" t="s">
        <v>95</v>
      </c>
      <c r="K449" t="s">
        <v>69</v>
      </c>
      <c r="L449" t="s">
        <v>38</v>
      </c>
    </row>
    <row r="450" spans="1:12" x14ac:dyDescent="0.3">
      <c r="A450" t="s">
        <v>1247</v>
      </c>
      <c r="B450" t="s">
        <v>1030</v>
      </c>
      <c r="C450" t="s">
        <v>1248</v>
      </c>
      <c r="D450" t="s">
        <v>862</v>
      </c>
      <c r="E450" t="s">
        <v>16</v>
      </c>
      <c r="F450">
        <v>12895</v>
      </c>
      <c r="G450" t="s">
        <v>79</v>
      </c>
      <c r="H450" t="s">
        <v>18</v>
      </c>
      <c r="I450" t="s">
        <v>19</v>
      </c>
      <c r="J450" t="s">
        <v>20</v>
      </c>
      <c r="K450" t="s">
        <v>57</v>
      </c>
      <c r="L450" t="s">
        <v>38</v>
      </c>
    </row>
    <row r="451" spans="1:12" x14ac:dyDescent="0.3">
      <c r="A451" t="s">
        <v>1249</v>
      </c>
      <c r="B451" t="s">
        <v>739</v>
      </c>
      <c r="C451" t="s">
        <v>1250</v>
      </c>
      <c r="D451" t="s">
        <v>454</v>
      </c>
      <c r="E451" t="s">
        <v>78</v>
      </c>
      <c r="F451">
        <v>5774</v>
      </c>
      <c r="G451" t="s">
        <v>35</v>
      </c>
      <c r="H451" t="s">
        <v>45</v>
      </c>
      <c r="I451" t="s">
        <v>28</v>
      </c>
      <c r="J451" t="s">
        <v>95</v>
      </c>
      <c r="K451" t="s">
        <v>37</v>
      </c>
      <c r="L451" t="s">
        <v>38</v>
      </c>
    </row>
    <row r="452" spans="1:12" x14ac:dyDescent="0.3">
      <c r="A452" t="s">
        <v>1251</v>
      </c>
      <c r="B452" t="s">
        <v>875</v>
      </c>
      <c r="C452" t="s">
        <v>1252</v>
      </c>
      <c r="D452" t="s">
        <v>584</v>
      </c>
      <c r="E452" t="s">
        <v>43</v>
      </c>
      <c r="F452">
        <v>9246</v>
      </c>
      <c r="G452" t="s">
        <v>79</v>
      </c>
      <c r="H452" t="s">
        <v>85</v>
      </c>
      <c r="I452" t="s">
        <v>19</v>
      </c>
      <c r="J452" t="s">
        <v>95</v>
      </c>
      <c r="K452" t="s">
        <v>80</v>
      </c>
      <c r="L452" t="s">
        <v>38</v>
      </c>
    </row>
    <row r="453" spans="1:12" x14ac:dyDescent="0.3">
      <c r="A453" t="s">
        <v>1253</v>
      </c>
      <c r="B453" t="s">
        <v>490</v>
      </c>
      <c r="C453" t="s">
        <v>394</v>
      </c>
      <c r="D453" t="s">
        <v>991</v>
      </c>
      <c r="E453" t="s">
        <v>51</v>
      </c>
      <c r="F453">
        <v>703</v>
      </c>
      <c r="G453" t="s">
        <v>79</v>
      </c>
      <c r="H453" t="s">
        <v>52</v>
      </c>
      <c r="I453" t="s">
        <v>28</v>
      </c>
      <c r="J453" t="s">
        <v>20</v>
      </c>
      <c r="K453" t="s">
        <v>96</v>
      </c>
      <c r="L453" t="s">
        <v>38</v>
      </c>
    </row>
    <row r="454" spans="1:12" x14ac:dyDescent="0.3">
      <c r="A454" t="s">
        <v>1254</v>
      </c>
      <c r="B454" t="s">
        <v>1255</v>
      </c>
      <c r="C454" t="s">
        <v>1256</v>
      </c>
      <c r="D454" t="s">
        <v>578</v>
      </c>
      <c r="E454" t="s">
        <v>51</v>
      </c>
      <c r="F454">
        <v>8385</v>
      </c>
      <c r="G454" t="s">
        <v>68</v>
      </c>
      <c r="H454" t="s">
        <v>27</v>
      </c>
      <c r="I454" t="s">
        <v>28</v>
      </c>
      <c r="J454" t="s">
        <v>20</v>
      </c>
      <c r="K454" t="s">
        <v>21</v>
      </c>
      <c r="L454" t="s">
        <v>38</v>
      </c>
    </row>
    <row r="455" spans="1:12" x14ac:dyDescent="0.3">
      <c r="A455" t="s">
        <v>1257</v>
      </c>
      <c r="B455" t="s">
        <v>1190</v>
      </c>
      <c r="C455" t="s">
        <v>1258</v>
      </c>
      <c r="D455" t="s">
        <v>288</v>
      </c>
      <c r="E455" t="s">
        <v>94</v>
      </c>
      <c r="F455">
        <v>12720</v>
      </c>
      <c r="G455" t="s">
        <v>68</v>
      </c>
      <c r="H455" t="s">
        <v>27</v>
      </c>
      <c r="I455" t="s">
        <v>28</v>
      </c>
      <c r="J455" t="s">
        <v>20</v>
      </c>
      <c r="K455" t="s">
        <v>69</v>
      </c>
      <c r="L455" t="s">
        <v>38</v>
      </c>
    </row>
    <row r="456" spans="1:12" x14ac:dyDescent="0.3">
      <c r="A456" t="s">
        <v>1259</v>
      </c>
      <c r="B456" t="s">
        <v>933</v>
      </c>
      <c r="C456" t="s">
        <v>260</v>
      </c>
      <c r="D456" t="s">
        <v>385</v>
      </c>
      <c r="E456" t="s">
        <v>94</v>
      </c>
      <c r="F456">
        <v>11563</v>
      </c>
      <c r="G456" t="s">
        <v>63</v>
      </c>
      <c r="H456" t="s">
        <v>113</v>
      </c>
      <c r="I456" t="s">
        <v>19</v>
      </c>
      <c r="J456" t="s">
        <v>20</v>
      </c>
      <c r="K456" t="s">
        <v>57</v>
      </c>
      <c r="L456" t="s">
        <v>38</v>
      </c>
    </row>
    <row r="457" spans="1:12" x14ac:dyDescent="0.3">
      <c r="A457" t="s">
        <v>1260</v>
      </c>
      <c r="B457" t="s">
        <v>817</v>
      </c>
      <c r="C457" t="s">
        <v>1109</v>
      </c>
      <c r="D457" t="s">
        <v>104</v>
      </c>
      <c r="E457" t="s">
        <v>16</v>
      </c>
      <c r="F457">
        <v>29600</v>
      </c>
      <c r="G457" t="s">
        <v>35</v>
      </c>
      <c r="H457" t="s">
        <v>52</v>
      </c>
      <c r="I457" t="s">
        <v>19</v>
      </c>
      <c r="J457" t="s">
        <v>20</v>
      </c>
      <c r="K457" t="s">
        <v>21</v>
      </c>
      <c r="L457" t="s">
        <v>22</v>
      </c>
    </row>
    <row r="458" spans="1:12" x14ac:dyDescent="0.3">
      <c r="A458" t="s">
        <v>1261</v>
      </c>
      <c r="B458" t="s">
        <v>206</v>
      </c>
      <c r="C458" t="s">
        <v>1262</v>
      </c>
      <c r="D458" t="s">
        <v>1263</v>
      </c>
      <c r="E458" t="s">
        <v>51</v>
      </c>
      <c r="F458">
        <v>7441</v>
      </c>
      <c r="G458" t="s">
        <v>68</v>
      </c>
      <c r="H458" t="s">
        <v>36</v>
      </c>
      <c r="I458" t="s">
        <v>19</v>
      </c>
      <c r="J458" t="s">
        <v>46</v>
      </c>
      <c r="K458" t="s">
        <v>21</v>
      </c>
      <c r="L458" t="s">
        <v>38</v>
      </c>
    </row>
    <row r="459" spans="1:12" x14ac:dyDescent="0.3">
      <c r="A459" t="s">
        <v>1264</v>
      </c>
      <c r="B459" t="s">
        <v>820</v>
      </c>
      <c r="C459" t="s">
        <v>929</v>
      </c>
      <c r="D459" t="s">
        <v>166</v>
      </c>
      <c r="E459" t="s">
        <v>94</v>
      </c>
      <c r="F459">
        <v>1086</v>
      </c>
      <c r="G459" t="s">
        <v>63</v>
      </c>
      <c r="H459" t="s">
        <v>18</v>
      </c>
      <c r="I459" t="s">
        <v>28</v>
      </c>
      <c r="J459" t="s">
        <v>20</v>
      </c>
      <c r="K459" t="s">
        <v>69</v>
      </c>
      <c r="L459" t="s">
        <v>38</v>
      </c>
    </row>
    <row r="460" spans="1:12" x14ac:dyDescent="0.3">
      <c r="A460" t="s">
        <v>1265</v>
      </c>
      <c r="B460" t="s">
        <v>337</v>
      </c>
      <c r="C460" t="s">
        <v>199</v>
      </c>
      <c r="D460" t="s">
        <v>258</v>
      </c>
      <c r="E460" t="s">
        <v>51</v>
      </c>
      <c r="F460">
        <v>4662</v>
      </c>
      <c r="G460" t="s">
        <v>79</v>
      </c>
      <c r="H460" t="s">
        <v>105</v>
      </c>
      <c r="I460" t="s">
        <v>28</v>
      </c>
      <c r="J460" t="s">
        <v>46</v>
      </c>
      <c r="K460" t="s">
        <v>29</v>
      </c>
      <c r="L460" t="s">
        <v>38</v>
      </c>
    </row>
    <row r="461" spans="1:12" x14ac:dyDescent="0.3">
      <c r="A461" t="s">
        <v>1266</v>
      </c>
      <c r="B461" t="s">
        <v>768</v>
      </c>
      <c r="C461" t="s">
        <v>1267</v>
      </c>
      <c r="D461" t="s">
        <v>166</v>
      </c>
      <c r="E461" t="s">
        <v>16</v>
      </c>
      <c r="F461">
        <v>71248</v>
      </c>
      <c r="G461" t="s">
        <v>63</v>
      </c>
      <c r="H461" t="s">
        <v>113</v>
      </c>
      <c r="I461" t="s">
        <v>28</v>
      </c>
      <c r="J461" t="s">
        <v>46</v>
      </c>
      <c r="K461" t="s">
        <v>80</v>
      </c>
      <c r="L461" t="s">
        <v>22</v>
      </c>
    </row>
    <row r="462" spans="1:12" x14ac:dyDescent="0.3">
      <c r="A462" t="s">
        <v>1268</v>
      </c>
      <c r="B462" t="s">
        <v>626</v>
      </c>
      <c r="C462" t="s">
        <v>1088</v>
      </c>
      <c r="D462" t="s">
        <v>26</v>
      </c>
      <c r="E462" t="s">
        <v>43</v>
      </c>
      <c r="F462">
        <v>232</v>
      </c>
      <c r="G462" t="s">
        <v>35</v>
      </c>
      <c r="H462" t="s">
        <v>36</v>
      </c>
      <c r="I462" t="s">
        <v>19</v>
      </c>
      <c r="J462" t="s">
        <v>20</v>
      </c>
      <c r="K462" t="s">
        <v>37</v>
      </c>
      <c r="L462" t="s">
        <v>38</v>
      </c>
    </row>
    <row r="463" spans="1:12" x14ac:dyDescent="0.3">
      <c r="A463" t="s">
        <v>1269</v>
      </c>
      <c r="B463" t="s">
        <v>316</v>
      </c>
      <c r="C463" t="s">
        <v>1270</v>
      </c>
      <c r="D463" t="s">
        <v>292</v>
      </c>
      <c r="E463" t="s">
        <v>78</v>
      </c>
      <c r="F463">
        <v>14887</v>
      </c>
      <c r="G463" t="s">
        <v>68</v>
      </c>
      <c r="H463" t="s">
        <v>27</v>
      </c>
      <c r="I463" t="s">
        <v>28</v>
      </c>
      <c r="J463" t="s">
        <v>20</v>
      </c>
      <c r="K463" t="s">
        <v>29</v>
      </c>
      <c r="L463" t="s">
        <v>38</v>
      </c>
    </row>
    <row r="464" spans="1:12" x14ac:dyDescent="0.3">
      <c r="A464" t="s">
        <v>1271</v>
      </c>
      <c r="B464" t="s">
        <v>580</v>
      </c>
      <c r="C464" t="s">
        <v>1169</v>
      </c>
      <c r="D464" t="s">
        <v>667</v>
      </c>
      <c r="E464" t="s">
        <v>34</v>
      </c>
      <c r="F464">
        <v>9344</v>
      </c>
      <c r="G464" t="s">
        <v>68</v>
      </c>
      <c r="H464" t="s">
        <v>18</v>
      </c>
      <c r="I464" t="s">
        <v>28</v>
      </c>
      <c r="J464" t="s">
        <v>95</v>
      </c>
      <c r="K464" t="s">
        <v>80</v>
      </c>
      <c r="L464" t="s">
        <v>38</v>
      </c>
    </row>
    <row r="465" spans="1:12" x14ac:dyDescent="0.3">
      <c r="A465" t="s">
        <v>1272</v>
      </c>
      <c r="B465" t="s">
        <v>1240</v>
      </c>
      <c r="C465" t="s">
        <v>1273</v>
      </c>
      <c r="D465" t="s">
        <v>729</v>
      </c>
      <c r="E465" t="s">
        <v>16</v>
      </c>
      <c r="F465">
        <v>83857</v>
      </c>
      <c r="G465" t="s">
        <v>79</v>
      </c>
      <c r="H465" t="s">
        <v>27</v>
      </c>
      <c r="I465" t="s">
        <v>19</v>
      </c>
      <c r="J465" t="s">
        <v>46</v>
      </c>
      <c r="K465" t="s">
        <v>37</v>
      </c>
      <c r="L465" t="s">
        <v>22</v>
      </c>
    </row>
    <row r="466" spans="1:12" x14ac:dyDescent="0.3">
      <c r="A466" t="s">
        <v>1274</v>
      </c>
      <c r="B466" t="s">
        <v>110</v>
      </c>
      <c r="C466" t="s">
        <v>1275</v>
      </c>
      <c r="D466" t="s">
        <v>368</v>
      </c>
      <c r="E466" t="s">
        <v>51</v>
      </c>
      <c r="F466">
        <v>5256</v>
      </c>
      <c r="G466" t="s">
        <v>79</v>
      </c>
      <c r="H466" t="s">
        <v>52</v>
      </c>
      <c r="I466" t="s">
        <v>19</v>
      </c>
      <c r="J466" t="s">
        <v>46</v>
      </c>
      <c r="K466" t="s">
        <v>21</v>
      </c>
      <c r="L466" t="s">
        <v>38</v>
      </c>
    </row>
    <row r="467" spans="1:12" x14ac:dyDescent="0.3">
      <c r="A467" t="s">
        <v>1276</v>
      </c>
      <c r="B467" t="s">
        <v>446</v>
      </c>
      <c r="C467" t="s">
        <v>1277</v>
      </c>
      <c r="D467" t="s">
        <v>339</v>
      </c>
      <c r="E467" t="s">
        <v>43</v>
      </c>
      <c r="F467">
        <v>7067</v>
      </c>
      <c r="G467" t="s">
        <v>44</v>
      </c>
      <c r="H467" t="s">
        <v>27</v>
      </c>
      <c r="I467" t="s">
        <v>28</v>
      </c>
      <c r="J467" t="s">
        <v>46</v>
      </c>
      <c r="K467" t="s">
        <v>37</v>
      </c>
      <c r="L467" t="s">
        <v>38</v>
      </c>
    </row>
    <row r="468" spans="1:12" x14ac:dyDescent="0.3">
      <c r="A468" t="s">
        <v>1278</v>
      </c>
      <c r="B468" t="s">
        <v>270</v>
      </c>
      <c r="C468" t="s">
        <v>1279</v>
      </c>
      <c r="D468" t="s">
        <v>502</v>
      </c>
      <c r="E468" t="s">
        <v>51</v>
      </c>
      <c r="F468">
        <v>5482</v>
      </c>
      <c r="G468" t="s">
        <v>68</v>
      </c>
      <c r="H468" t="s">
        <v>52</v>
      </c>
      <c r="I468" t="s">
        <v>28</v>
      </c>
      <c r="J468" t="s">
        <v>46</v>
      </c>
      <c r="K468" t="s">
        <v>21</v>
      </c>
      <c r="L468" t="s">
        <v>38</v>
      </c>
    </row>
    <row r="469" spans="1:12" x14ac:dyDescent="0.3">
      <c r="A469" t="s">
        <v>1280</v>
      </c>
      <c r="B469" t="s">
        <v>363</v>
      </c>
      <c r="C469" t="s">
        <v>1281</v>
      </c>
      <c r="D469" t="s">
        <v>235</v>
      </c>
      <c r="E469" t="s">
        <v>34</v>
      </c>
      <c r="F469">
        <v>1393</v>
      </c>
      <c r="G469" t="s">
        <v>63</v>
      </c>
      <c r="H469" t="s">
        <v>27</v>
      </c>
      <c r="I469" t="s">
        <v>28</v>
      </c>
      <c r="J469" t="s">
        <v>20</v>
      </c>
      <c r="K469" t="s">
        <v>80</v>
      </c>
      <c r="L469" t="s">
        <v>38</v>
      </c>
    </row>
    <row r="470" spans="1:12" x14ac:dyDescent="0.3">
      <c r="A470" t="s">
        <v>1282</v>
      </c>
      <c r="B470" t="s">
        <v>960</v>
      </c>
      <c r="C470" t="s">
        <v>1283</v>
      </c>
      <c r="D470" t="s">
        <v>1092</v>
      </c>
      <c r="E470" t="s">
        <v>34</v>
      </c>
      <c r="F470">
        <v>14666</v>
      </c>
      <c r="G470" t="s">
        <v>79</v>
      </c>
      <c r="H470" t="s">
        <v>105</v>
      </c>
      <c r="I470" t="s">
        <v>28</v>
      </c>
      <c r="J470" t="s">
        <v>95</v>
      </c>
      <c r="K470" t="s">
        <v>69</v>
      </c>
      <c r="L470" t="s">
        <v>38</v>
      </c>
    </row>
    <row r="471" spans="1:12" x14ac:dyDescent="0.3">
      <c r="A471" t="s">
        <v>1284</v>
      </c>
      <c r="B471" t="s">
        <v>127</v>
      </c>
      <c r="C471" t="s">
        <v>1285</v>
      </c>
      <c r="D471" t="s">
        <v>125</v>
      </c>
      <c r="E471" t="s">
        <v>16</v>
      </c>
      <c r="F471">
        <v>9087</v>
      </c>
      <c r="G471" t="s">
        <v>35</v>
      </c>
      <c r="H471" t="s">
        <v>113</v>
      </c>
      <c r="I471" t="s">
        <v>28</v>
      </c>
      <c r="J471" t="s">
        <v>95</v>
      </c>
      <c r="K471" t="s">
        <v>57</v>
      </c>
      <c r="L471" t="s">
        <v>38</v>
      </c>
    </row>
    <row r="472" spans="1:12" x14ac:dyDescent="0.3">
      <c r="A472" t="s">
        <v>1286</v>
      </c>
      <c r="B472" t="s">
        <v>31</v>
      </c>
      <c r="C472" t="s">
        <v>826</v>
      </c>
      <c r="D472" t="s">
        <v>288</v>
      </c>
      <c r="E472" t="s">
        <v>51</v>
      </c>
      <c r="F472">
        <v>4817</v>
      </c>
      <c r="G472" t="s">
        <v>79</v>
      </c>
      <c r="H472" t="s">
        <v>18</v>
      </c>
      <c r="I472" t="s">
        <v>28</v>
      </c>
      <c r="J472" t="s">
        <v>95</v>
      </c>
      <c r="K472" t="s">
        <v>37</v>
      </c>
      <c r="L472" t="s">
        <v>38</v>
      </c>
    </row>
    <row r="473" spans="1:12" x14ac:dyDescent="0.3">
      <c r="A473" t="s">
        <v>1287</v>
      </c>
      <c r="B473" t="s">
        <v>164</v>
      </c>
      <c r="C473" t="s">
        <v>479</v>
      </c>
      <c r="D473" t="s">
        <v>1089</v>
      </c>
      <c r="E473" t="s">
        <v>34</v>
      </c>
      <c r="F473">
        <v>13943</v>
      </c>
      <c r="G473" t="s">
        <v>79</v>
      </c>
      <c r="H473" t="s">
        <v>85</v>
      </c>
      <c r="I473" t="s">
        <v>19</v>
      </c>
      <c r="J473" t="s">
        <v>95</v>
      </c>
      <c r="K473" t="s">
        <v>29</v>
      </c>
      <c r="L473" t="s">
        <v>38</v>
      </c>
    </row>
    <row r="474" spans="1:12" x14ac:dyDescent="0.3">
      <c r="A474" t="s">
        <v>1288</v>
      </c>
      <c r="B474" t="s">
        <v>922</v>
      </c>
      <c r="C474" t="s">
        <v>1289</v>
      </c>
      <c r="D474" t="s">
        <v>323</v>
      </c>
      <c r="E474" t="s">
        <v>62</v>
      </c>
      <c r="F474">
        <v>2445</v>
      </c>
      <c r="G474" t="s">
        <v>44</v>
      </c>
      <c r="H474" t="s">
        <v>85</v>
      </c>
      <c r="I474" t="s">
        <v>19</v>
      </c>
      <c r="J474" t="s">
        <v>20</v>
      </c>
      <c r="K474" t="s">
        <v>96</v>
      </c>
      <c r="L474" t="s">
        <v>38</v>
      </c>
    </row>
    <row r="475" spans="1:12" x14ac:dyDescent="0.3">
      <c r="A475" t="s">
        <v>1290</v>
      </c>
      <c r="B475" t="s">
        <v>714</v>
      </c>
      <c r="C475" t="s">
        <v>234</v>
      </c>
      <c r="D475" t="s">
        <v>67</v>
      </c>
      <c r="E475" t="s">
        <v>16</v>
      </c>
      <c r="F475">
        <v>11004</v>
      </c>
      <c r="G475" t="s">
        <v>68</v>
      </c>
      <c r="H475" t="s">
        <v>85</v>
      </c>
      <c r="I475" t="s">
        <v>28</v>
      </c>
      <c r="J475" t="s">
        <v>46</v>
      </c>
      <c r="K475" t="s">
        <v>96</v>
      </c>
      <c r="L475" t="s">
        <v>38</v>
      </c>
    </row>
    <row r="476" spans="1:12" x14ac:dyDescent="0.3">
      <c r="A476" t="s">
        <v>1291</v>
      </c>
      <c r="B476" t="s">
        <v>278</v>
      </c>
      <c r="C476" t="s">
        <v>440</v>
      </c>
      <c r="D476" t="s">
        <v>667</v>
      </c>
      <c r="E476" t="s">
        <v>94</v>
      </c>
      <c r="F476">
        <v>11580</v>
      </c>
      <c r="G476" t="s">
        <v>63</v>
      </c>
      <c r="H476" t="s">
        <v>52</v>
      </c>
      <c r="I476" t="s">
        <v>19</v>
      </c>
      <c r="J476" t="s">
        <v>46</v>
      </c>
      <c r="K476" t="s">
        <v>57</v>
      </c>
      <c r="L476" t="s">
        <v>38</v>
      </c>
    </row>
    <row r="477" spans="1:12" x14ac:dyDescent="0.3">
      <c r="A477" t="s">
        <v>1292</v>
      </c>
      <c r="B477" t="s">
        <v>786</v>
      </c>
      <c r="C477" t="s">
        <v>570</v>
      </c>
      <c r="D477" t="s">
        <v>232</v>
      </c>
      <c r="E477" t="s">
        <v>16</v>
      </c>
      <c r="F477">
        <v>10754</v>
      </c>
      <c r="G477" t="s">
        <v>44</v>
      </c>
      <c r="H477" t="s">
        <v>27</v>
      </c>
      <c r="I477" t="s">
        <v>28</v>
      </c>
      <c r="J477" t="s">
        <v>46</v>
      </c>
      <c r="K477" t="s">
        <v>37</v>
      </c>
      <c r="L477" t="s">
        <v>38</v>
      </c>
    </row>
    <row r="478" spans="1:12" x14ac:dyDescent="0.3">
      <c r="A478" t="s">
        <v>1293</v>
      </c>
      <c r="B478" t="s">
        <v>411</v>
      </c>
      <c r="C478" t="s">
        <v>1076</v>
      </c>
      <c r="D478" t="s">
        <v>890</v>
      </c>
      <c r="E478" t="s">
        <v>16</v>
      </c>
      <c r="F478">
        <v>14585</v>
      </c>
      <c r="G478" t="s">
        <v>79</v>
      </c>
      <c r="H478" t="s">
        <v>113</v>
      </c>
      <c r="I478" t="s">
        <v>19</v>
      </c>
      <c r="J478" t="s">
        <v>20</v>
      </c>
      <c r="K478" t="s">
        <v>96</v>
      </c>
      <c r="L478" t="s">
        <v>38</v>
      </c>
    </row>
    <row r="479" spans="1:12" x14ac:dyDescent="0.3">
      <c r="A479" t="s">
        <v>1294</v>
      </c>
      <c r="B479" t="s">
        <v>820</v>
      </c>
      <c r="C479" t="s">
        <v>1295</v>
      </c>
      <c r="D479" t="s">
        <v>690</v>
      </c>
      <c r="E479" t="s">
        <v>78</v>
      </c>
      <c r="F479">
        <v>2511</v>
      </c>
      <c r="G479" t="s">
        <v>44</v>
      </c>
      <c r="H479" t="s">
        <v>18</v>
      </c>
      <c r="I479" t="s">
        <v>19</v>
      </c>
      <c r="J479" t="s">
        <v>46</v>
      </c>
      <c r="K479" t="s">
        <v>57</v>
      </c>
      <c r="L479" t="s">
        <v>38</v>
      </c>
    </row>
    <row r="480" spans="1:12" x14ac:dyDescent="0.3">
      <c r="A480" t="s">
        <v>1296</v>
      </c>
      <c r="B480" t="s">
        <v>286</v>
      </c>
      <c r="C480" t="s">
        <v>1297</v>
      </c>
      <c r="D480" t="s">
        <v>1298</v>
      </c>
      <c r="E480" t="s">
        <v>78</v>
      </c>
      <c r="F480">
        <v>7894</v>
      </c>
      <c r="G480" t="s">
        <v>68</v>
      </c>
      <c r="H480" t="s">
        <v>36</v>
      </c>
      <c r="I480" t="s">
        <v>19</v>
      </c>
      <c r="J480" t="s">
        <v>95</v>
      </c>
      <c r="K480" t="s">
        <v>29</v>
      </c>
      <c r="L480" t="s">
        <v>38</v>
      </c>
    </row>
    <row r="481" spans="1:12" x14ac:dyDescent="0.3">
      <c r="A481" t="s">
        <v>1299</v>
      </c>
      <c r="B481" t="s">
        <v>266</v>
      </c>
      <c r="C481" t="s">
        <v>1300</v>
      </c>
      <c r="D481" t="s">
        <v>1301</v>
      </c>
      <c r="E481" t="s">
        <v>94</v>
      </c>
      <c r="F481">
        <v>2689</v>
      </c>
      <c r="G481" t="s">
        <v>44</v>
      </c>
      <c r="H481" t="s">
        <v>113</v>
      </c>
      <c r="I481" t="s">
        <v>19</v>
      </c>
      <c r="J481" t="s">
        <v>95</v>
      </c>
      <c r="K481" t="s">
        <v>29</v>
      </c>
      <c r="L481" t="s">
        <v>38</v>
      </c>
    </row>
    <row r="482" spans="1:12" x14ac:dyDescent="0.3">
      <c r="A482" t="s">
        <v>1302</v>
      </c>
      <c r="B482" t="s">
        <v>580</v>
      </c>
      <c r="C482" t="s">
        <v>1303</v>
      </c>
      <c r="D482" t="s">
        <v>170</v>
      </c>
      <c r="E482" t="s">
        <v>94</v>
      </c>
      <c r="F482">
        <v>6692</v>
      </c>
      <c r="G482" t="s">
        <v>17</v>
      </c>
      <c r="H482" t="s">
        <v>52</v>
      </c>
      <c r="I482" t="s">
        <v>19</v>
      </c>
      <c r="J482" t="s">
        <v>95</v>
      </c>
      <c r="K482" t="s">
        <v>29</v>
      </c>
      <c r="L482" t="s">
        <v>38</v>
      </c>
    </row>
    <row r="483" spans="1:12" x14ac:dyDescent="0.3">
      <c r="A483" t="s">
        <v>1304</v>
      </c>
      <c r="B483" t="s">
        <v>380</v>
      </c>
      <c r="C483" t="s">
        <v>919</v>
      </c>
      <c r="D483" t="s">
        <v>50</v>
      </c>
      <c r="E483" t="s">
        <v>78</v>
      </c>
      <c r="F483">
        <v>14259</v>
      </c>
      <c r="G483" t="s">
        <v>79</v>
      </c>
      <c r="H483" t="s">
        <v>36</v>
      </c>
      <c r="I483" t="s">
        <v>19</v>
      </c>
      <c r="J483" t="s">
        <v>20</v>
      </c>
      <c r="K483" t="s">
        <v>69</v>
      </c>
      <c r="L483" t="s">
        <v>38</v>
      </c>
    </row>
    <row r="484" spans="1:12" x14ac:dyDescent="0.3">
      <c r="A484" t="s">
        <v>1305</v>
      </c>
      <c r="B484" t="s">
        <v>580</v>
      </c>
      <c r="C484" t="s">
        <v>1306</v>
      </c>
      <c r="D484" t="s">
        <v>524</v>
      </c>
      <c r="E484" t="s">
        <v>78</v>
      </c>
      <c r="F484">
        <v>8419</v>
      </c>
      <c r="G484" t="s">
        <v>79</v>
      </c>
      <c r="H484" t="s">
        <v>45</v>
      </c>
      <c r="I484" t="s">
        <v>28</v>
      </c>
      <c r="J484" t="s">
        <v>95</v>
      </c>
      <c r="K484" t="s">
        <v>21</v>
      </c>
      <c r="L484" t="s">
        <v>38</v>
      </c>
    </row>
    <row r="485" spans="1:12" x14ac:dyDescent="0.3">
      <c r="A485" t="s">
        <v>1307</v>
      </c>
      <c r="B485" t="s">
        <v>110</v>
      </c>
      <c r="C485" t="s">
        <v>1308</v>
      </c>
      <c r="D485" t="s">
        <v>1298</v>
      </c>
      <c r="E485" t="s">
        <v>43</v>
      </c>
      <c r="F485">
        <v>6365</v>
      </c>
      <c r="G485" t="s">
        <v>68</v>
      </c>
      <c r="H485" t="s">
        <v>36</v>
      </c>
      <c r="I485" t="s">
        <v>19</v>
      </c>
      <c r="J485" t="s">
        <v>20</v>
      </c>
      <c r="K485" t="s">
        <v>21</v>
      </c>
      <c r="L485" t="s">
        <v>38</v>
      </c>
    </row>
    <row r="486" spans="1:12" x14ac:dyDescent="0.3">
      <c r="A486" t="s">
        <v>1309</v>
      </c>
      <c r="B486" t="s">
        <v>325</v>
      </c>
      <c r="C486" t="s">
        <v>624</v>
      </c>
      <c r="D486" t="s">
        <v>824</v>
      </c>
      <c r="E486" t="s">
        <v>34</v>
      </c>
      <c r="F486">
        <v>10122</v>
      </c>
      <c r="G486" t="s">
        <v>63</v>
      </c>
      <c r="H486" t="s">
        <v>18</v>
      </c>
      <c r="I486" t="s">
        <v>19</v>
      </c>
      <c r="J486" t="s">
        <v>95</v>
      </c>
      <c r="K486" t="s">
        <v>57</v>
      </c>
      <c r="L486" t="s">
        <v>38</v>
      </c>
    </row>
    <row r="487" spans="1:12" x14ac:dyDescent="0.3">
      <c r="A487" t="s">
        <v>1310</v>
      </c>
      <c r="B487" t="s">
        <v>474</v>
      </c>
      <c r="C487" t="s">
        <v>1134</v>
      </c>
      <c r="D487" t="s">
        <v>1311</v>
      </c>
      <c r="E487" t="s">
        <v>34</v>
      </c>
      <c r="F487">
        <v>8885</v>
      </c>
      <c r="G487" t="s">
        <v>68</v>
      </c>
      <c r="H487" t="s">
        <v>36</v>
      </c>
      <c r="I487" t="s">
        <v>28</v>
      </c>
      <c r="J487" t="s">
        <v>95</v>
      </c>
      <c r="K487" t="s">
        <v>37</v>
      </c>
      <c r="L487" t="s">
        <v>38</v>
      </c>
    </row>
    <row r="488" spans="1:12" x14ac:dyDescent="0.3">
      <c r="A488" t="s">
        <v>1312</v>
      </c>
      <c r="B488" t="s">
        <v>397</v>
      </c>
      <c r="C488" t="s">
        <v>1279</v>
      </c>
      <c r="D488" t="s">
        <v>1092</v>
      </c>
      <c r="E488" t="s">
        <v>34</v>
      </c>
      <c r="F488">
        <v>3809</v>
      </c>
      <c r="G488" t="s">
        <v>44</v>
      </c>
      <c r="H488" t="s">
        <v>18</v>
      </c>
      <c r="I488" t="s">
        <v>28</v>
      </c>
      <c r="J488" t="s">
        <v>46</v>
      </c>
      <c r="K488" t="s">
        <v>29</v>
      </c>
      <c r="L488" t="s">
        <v>38</v>
      </c>
    </row>
    <row r="489" spans="1:12" x14ac:dyDescent="0.3">
      <c r="A489" t="s">
        <v>1313</v>
      </c>
      <c r="B489" t="s">
        <v>333</v>
      </c>
      <c r="C489" t="s">
        <v>1314</v>
      </c>
      <c r="D489" t="s">
        <v>744</v>
      </c>
      <c r="E489" t="s">
        <v>62</v>
      </c>
      <c r="F489">
        <v>14960</v>
      </c>
      <c r="G489" t="s">
        <v>68</v>
      </c>
      <c r="H489" t="s">
        <v>36</v>
      </c>
      <c r="I489" t="s">
        <v>28</v>
      </c>
      <c r="J489" t="s">
        <v>95</v>
      </c>
      <c r="K489" t="s">
        <v>29</v>
      </c>
      <c r="L489" t="s">
        <v>38</v>
      </c>
    </row>
    <row r="490" spans="1:12" x14ac:dyDescent="0.3">
      <c r="A490" t="s">
        <v>1315</v>
      </c>
      <c r="B490" t="s">
        <v>532</v>
      </c>
      <c r="C490" t="s">
        <v>1316</v>
      </c>
      <c r="D490" t="s">
        <v>117</v>
      </c>
      <c r="E490" t="s">
        <v>43</v>
      </c>
      <c r="F490">
        <v>1980</v>
      </c>
      <c r="G490" t="s">
        <v>44</v>
      </c>
      <c r="H490" t="s">
        <v>27</v>
      </c>
      <c r="I490" t="s">
        <v>28</v>
      </c>
      <c r="J490" t="s">
        <v>46</v>
      </c>
      <c r="K490" t="s">
        <v>57</v>
      </c>
      <c r="L490" t="s">
        <v>38</v>
      </c>
    </row>
    <row r="491" spans="1:12" x14ac:dyDescent="0.3">
      <c r="A491" t="s">
        <v>1317</v>
      </c>
      <c r="B491" t="s">
        <v>542</v>
      </c>
      <c r="C491" t="s">
        <v>1318</v>
      </c>
      <c r="D491" t="s">
        <v>505</v>
      </c>
      <c r="E491" t="s">
        <v>62</v>
      </c>
      <c r="F491">
        <v>10725</v>
      </c>
      <c r="G491" t="s">
        <v>17</v>
      </c>
      <c r="H491" t="s">
        <v>45</v>
      </c>
      <c r="I491" t="s">
        <v>28</v>
      </c>
      <c r="J491" t="s">
        <v>95</v>
      </c>
      <c r="K491" t="s">
        <v>80</v>
      </c>
      <c r="L491" t="s">
        <v>38</v>
      </c>
    </row>
    <row r="492" spans="1:12" x14ac:dyDescent="0.3">
      <c r="A492" t="s">
        <v>1319</v>
      </c>
      <c r="B492" t="s">
        <v>933</v>
      </c>
      <c r="C492" t="s">
        <v>1320</v>
      </c>
      <c r="D492" t="s">
        <v>502</v>
      </c>
      <c r="E492" t="s">
        <v>78</v>
      </c>
      <c r="F492">
        <v>12891</v>
      </c>
      <c r="G492" t="s">
        <v>79</v>
      </c>
      <c r="H492" t="s">
        <v>85</v>
      </c>
      <c r="I492" t="s">
        <v>28</v>
      </c>
      <c r="J492" t="s">
        <v>46</v>
      </c>
      <c r="K492" t="s">
        <v>37</v>
      </c>
      <c r="L492" t="s">
        <v>38</v>
      </c>
    </row>
    <row r="493" spans="1:12" x14ac:dyDescent="0.3">
      <c r="A493" t="s">
        <v>1321</v>
      </c>
      <c r="B493" t="s">
        <v>316</v>
      </c>
      <c r="C493" t="s">
        <v>787</v>
      </c>
      <c r="D493" t="s">
        <v>358</v>
      </c>
      <c r="E493" t="s">
        <v>34</v>
      </c>
      <c r="F493">
        <v>6572</v>
      </c>
      <c r="G493" t="s">
        <v>63</v>
      </c>
      <c r="H493" t="s">
        <v>27</v>
      </c>
      <c r="I493" t="s">
        <v>28</v>
      </c>
      <c r="J493" t="s">
        <v>95</v>
      </c>
      <c r="K493" t="s">
        <v>69</v>
      </c>
      <c r="L493" t="s">
        <v>38</v>
      </c>
    </row>
    <row r="494" spans="1:12" x14ac:dyDescent="0.3">
      <c r="A494" t="s">
        <v>1322</v>
      </c>
      <c r="B494" t="s">
        <v>845</v>
      </c>
      <c r="C494" t="s">
        <v>1323</v>
      </c>
      <c r="D494" t="s">
        <v>725</v>
      </c>
      <c r="E494" t="s">
        <v>16</v>
      </c>
      <c r="F494">
        <v>86629</v>
      </c>
      <c r="G494" t="s">
        <v>63</v>
      </c>
      <c r="H494" t="s">
        <v>105</v>
      </c>
      <c r="I494" t="s">
        <v>19</v>
      </c>
      <c r="J494" t="s">
        <v>46</v>
      </c>
      <c r="K494" t="s">
        <v>57</v>
      </c>
      <c r="L494" t="s">
        <v>22</v>
      </c>
    </row>
    <row r="495" spans="1:12" x14ac:dyDescent="0.3">
      <c r="A495" t="s">
        <v>1324</v>
      </c>
      <c r="B495" t="s">
        <v>532</v>
      </c>
      <c r="C495" t="s">
        <v>1325</v>
      </c>
      <c r="D495" t="s">
        <v>33</v>
      </c>
      <c r="E495" t="s">
        <v>51</v>
      </c>
      <c r="F495">
        <v>13538</v>
      </c>
      <c r="G495" t="s">
        <v>35</v>
      </c>
      <c r="H495" t="s">
        <v>18</v>
      </c>
      <c r="I495" t="s">
        <v>19</v>
      </c>
      <c r="J495" t="s">
        <v>95</v>
      </c>
      <c r="K495" t="s">
        <v>37</v>
      </c>
      <c r="L495" t="s">
        <v>38</v>
      </c>
    </row>
    <row r="496" spans="1:12" x14ac:dyDescent="0.3">
      <c r="A496" t="s">
        <v>1326</v>
      </c>
      <c r="B496" t="s">
        <v>714</v>
      </c>
      <c r="C496" t="s">
        <v>1327</v>
      </c>
      <c r="D496" t="s">
        <v>693</v>
      </c>
      <c r="E496" t="s">
        <v>16</v>
      </c>
      <c r="F496">
        <v>24948</v>
      </c>
      <c r="G496" t="s">
        <v>35</v>
      </c>
      <c r="H496" t="s">
        <v>52</v>
      </c>
      <c r="I496" t="s">
        <v>19</v>
      </c>
      <c r="J496" t="s">
        <v>46</v>
      </c>
      <c r="K496" t="s">
        <v>69</v>
      </c>
      <c r="L496" t="s">
        <v>22</v>
      </c>
    </row>
    <row r="497" spans="1:12" x14ac:dyDescent="0.3">
      <c r="A497" t="s">
        <v>1328</v>
      </c>
      <c r="B497" t="s">
        <v>13</v>
      </c>
      <c r="C497" t="s">
        <v>1329</v>
      </c>
      <c r="D497" t="s">
        <v>584</v>
      </c>
      <c r="E497" t="s">
        <v>34</v>
      </c>
      <c r="F497">
        <v>225</v>
      </c>
      <c r="G497" t="s">
        <v>79</v>
      </c>
      <c r="H497" t="s">
        <v>52</v>
      </c>
      <c r="I497" t="s">
        <v>19</v>
      </c>
      <c r="J497" t="s">
        <v>95</v>
      </c>
      <c r="K497" t="s">
        <v>96</v>
      </c>
      <c r="L497" t="s">
        <v>38</v>
      </c>
    </row>
    <row r="498" spans="1:12" x14ac:dyDescent="0.3">
      <c r="A498" t="s">
        <v>1330</v>
      </c>
      <c r="B498" t="s">
        <v>209</v>
      </c>
      <c r="C498" t="s">
        <v>1331</v>
      </c>
      <c r="D498" t="s">
        <v>56</v>
      </c>
      <c r="E498" t="s">
        <v>94</v>
      </c>
      <c r="F498">
        <v>3845</v>
      </c>
      <c r="G498" t="s">
        <v>68</v>
      </c>
      <c r="H498" t="s">
        <v>27</v>
      </c>
      <c r="I498" t="s">
        <v>19</v>
      </c>
      <c r="J498" t="s">
        <v>20</v>
      </c>
      <c r="K498" t="s">
        <v>29</v>
      </c>
      <c r="L498" t="s">
        <v>38</v>
      </c>
    </row>
    <row r="499" spans="1:12" x14ac:dyDescent="0.3">
      <c r="A499" t="s">
        <v>1332</v>
      </c>
      <c r="B499" t="s">
        <v>1333</v>
      </c>
      <c r="C499" t="s">
        <v>1334</v>
      </c>
      <c r="D499" t="s">
        <v>141</v>
      </c>
      <c r="E499" t="s">
        <v>51</v>
      </c>
      <c r="F499">
        <v>5835</v>
      </c>
      <c r="G499" t="s">
        <v>79</v>
      </c>
      <c r="H499" t="s">
        <v>105</v>
      </c>
      <c r="I499" t="s">
        <v>19</v>
      </c>
      <c r="J499" t="s">
        <v>95</v>
      </c>
      <c r="K499" t="s">
        <v>96</v>
      </c>
      <c r="L499" t="s">
        <v>38</v>
      </c>
    </row>
    <row r="500" spans="1:12" x14ac:dyDescent="0.3">
      <c r="A500" t="s">
        <v>1335</v>
      </c>
      <c r="B500" t="s">
        <v>526</v>
      </c>
      <c r="C500" t="s">
        <v>449</v>
      </c>
      <c r="D500" t="s">
        <v>1263</v>
      </c>
      <c r="E500" t="s">
        <v>62</v>
      </c>
      <c r="F500">
        <v>9210</v>
      </c>
      <c r="G500" t="s">
        <v>79</v>
      </c>
      <c r="H500" t="s">
        <v>27</v>
      </c>
      <c r="I500" t="s">
        <v>28</v>
      </c>
      <c r="J500" t="s">
        <v>46</v>
      </c>
      <c r="K500" t="s">
        <v>57</v>
      </c>
      <c r="L500" t="s">
        <v>38</v>
      </c>
    </row>
    <row r="501" spans="1:12" x14ac:dyDescent="0.3">
      <c r="A501" t="s">
        <v>1336</v>
      </c>
      <c r="B501" t="s">
        <v>532</v>
      </c>
      <c r="C501" t="s">
        <v>1001</v>
      </c>
      <c r="D501" t="s">
        <v>1337</v>
      </c>
      <c r="E501" t="s">
        <v>43</v>
      </c>
      <c r="F501">
        <v>6720</v>
      </c>
      <c r="G501" t="s">
        <v>79</v>
      </c>
      <c r="H501" t="s">
        <v>52</v>
      </c>
      <c r="I501" t="s">
        <v>28</v>
      </c>
      <c r="J501" t="s">
        <v>95</v>
      </c>
      <c r="K501" t="s">
        <v>96</v>
      </c>
      <c r="L501"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1"/>
  <sheetViews>
    <sheetView workbookViewId="0">
      <pane ySplit="1" topLeftCell="A491" activePane="bottomLeft" state="frozen"/>
      <selection pane="bottomLeft" activeCell="E18" sqref="E18"/>
    </sheetView>
  </sheetViews>
  <sheetFormatPr defaultRowHeight="14.4" x14ac:dyDescent="0.3"/>
  <cols>
    <col min="1" max="1" width="16.109375" customWidth="1"/>
    <col min="2" max="2" width="12.109375" customWidth="1"/>
    <col min="3" max="3" width="11.5546875" customWidth="1"/>
    <col min="4" max="4" width="15.6640625" customWidth="1"/>
    <col min="5" max="5" width="17.109375" customWidth="1"/>
    <col min="6" max="6" width="10.33203125" customWidth="1"/>
    <col min="7" max="7" width="18.5546875" customWidth="1"/>
    <col min="8" max="8" width="15" customWidth="1"/>
    <col min="9" max="9" width="14.44140625" customWidth="1"/>
    <col min="10" max="10" width="19.88671875" customWidth="1"/>
    <col min="11" max="11" width="20.6640625" customWidth="1"/>
    <col min="12" max="12" width="12.6640625" customWidth="1"/>
    <col min="14" max="14" width="13" customWidth="1"/>
    <col min="15" max="15" width="14.5546875" customWidth="1"/>
  </cols>
  <sheetData>
    <row r="1" spans="1:15" x14ac:dyDescent="0.3">
      <c r="A1" t="s">
        <v>0</v>
      </c>
      <c r="B1" t="s">
        <v>1</v>
      </c>
      <c r="C1" t="s">
        <v>2</v>
      </c>
      <c r="D1" t="s">
        <v>3</v>
      </c>
      <c r="E1" t="s">
        <v>4</v>
      </c>
      <c r="F1" t="s">
        <v>5</v>
      </c>
      <c r="G1" t="s">
        <v>6</v>
      </c>
      <c r="H1" t="s">
        <v>7</v>
      </c>
      <c r="I1" t="s">
        <v>8</v>
      </c>
      <c r="J1" t="s">
        <v>9</v>
      </c>
      <c r="K1" t="s">
        <v>10</v>
      </c>
      <c r="L1" t="s">
        <v>11</v>
      </c>
      <c r="M1" t="s">
        <v>1338</v>
      </c>
      <c r="N1" t="s">
        <v>1339</v>
      </c>
      <c r="O1" t="s">
        <v>1340</v>
      </c>
    </row>
    <row r="2" spans="1:15" x14ac:dyDescent="0.3">
      <c r="A2" t="s">
        <v>12</v>
      </c>
      <c r="B2" t="s">
        <v>13</v>
      </c>
      <c r="C2" t="s">
        <v>14</v>
      </c>
      <c r="D2" t="s">
        <v>15</v>
      </c>
      <c r="E2" t="s">
        <v>16</v>
      </c>
      <c r="F2">
        <v>56048</v>
      </c>
      <c r="G2" t="s">
        <v>17</v>
      </c>
      <c r="H2" t="s">
        <v>18</v>
      </c>
      <c r="I2" t="s">
        <v>19</v>
      </c>
      <c r="J2" t="s">
        <v>20</v>
      </c>
      <c r="K2" t="s">
        <v>21</v>
      </c>
      <c r="L2" t="s">
        <v>22</v>
      </c>
      <c r="M2">
        <f t="shared" ref="M2:M65" si="0">HOUR(C2)</f>
        <v>1</v>
      </c>
      <c r="N2" t="str">
        <f t="shared" ref="N2:N65" si="1">IF(L2="Yes","High","Low")</f>
        <v>High</v>
      </c>
      <c r="O2">
        <f t="shared" ref="O2:O65" si="2">IF(F2&gt;20000,50,10)+IF(J2="Failed",20,0)+IF(E2="Unknown",30,0)+IF(M2&lt;5,15,0)</f>
        <v>95</v>
      </c>
    </row>
    <row r="3" spans="1:15" x14ac:dyDescent="0.3">
      <c r="A3" t="s">
        <v>23</v>
      </c>
      <c r="B3" t="s">
        <v>24</v>
      </c>
      <c r="C3" t="s">
        <v>25</v>
      </c>
      <c r="D3" t="s">
        <v>26</v>
      </c>
      <c r="E3" t="s">
        <v>16</v>
      </c>
      <c r="F3">
        <v>48657</v>
      </c>
      <c r="G3" t="s">
        <v>17</v>
      </c>
      <c r="H3" t="s">
        <v>27</v>
      </c>
      <c r="I3" t="s">
        <v>28</v>
      </c>
      <c r="J3" t="s">
        <v>20</v>
      </c>
      <c r="K3" t="s">
        <v>29</v>
      </c>
      <c r="L3" t="s">
        <v>22</v>
      </c>
      <c r="M3">
        <f t="shared" si="0"/>
        <v>1</v>
      </c>
      <c r="N3" t="str">
        <f t="shared" si="1"/>
        <v>High</v>
      </c>
      <c r="O3">
        <f t="shared" si="2"/>
        <v>95</v>
      </c>
    </row>
    <row r="4" spans="1:15" x14ac:dyDescent="0.3">
      <c r="A4" t="s">
        <v>30</v>
      </c>
      <c r="B4" t="s">
        <v>31</v>
      </c>
      <c r="C4" t="s">
        <v>32</v>
      </c>
      <c r="D4" t="s">
        <v>33</v>
      </c>
      <c r="E4" t="s">
        <v>34</v>
      </c>
      <c r="F4">
        <v>14292</v>
      </c>
      <c r="G4" t="s">
        <v>35</v>
      </c>
      <c r="H4" t="s">
        <v>36</v>
      </c>
      <c r="I4" t="s">
        <v>28</v>
      </c>
      <c r="J4" t="s">
        <v>20</v>
      </c>
      <c r="K4" t="s">
        <v>37</v>
      </c>
      <c r="L4" t="s">
        <v>38</v>
      </c>
      <c r="M4">
        <f t="shared" si="0"/>
        <v>6</v>
      </c>
      <c r="N4" t="str">
        <f t="shared" si="1"/>
        <v>Low</v>
      </c>
      <c r="O4">
        <f t="shared" si="2"/>
        <v>10</v>
      </c>
    </row>
    <row r="5" spans="1:15" x14ac:dyDescent="0.3">
      <c r="A5" t="s">
        <v>39</v>
      </c>
      <c r="B5" t="s">
        <v>40</v>
      </c>
      <c r="C5" t="s">
        <v>41</v>
      </c>
      <c r="D5" t="s">
        <v>42</v>
      </c>
      <c r="E5" t="s">
        <v>43</v>
      </c>
      <c r="F5">
        <v>5564</v>
      </c>
      <c r="G5" t="s">
        <v>44</v>
      </c>
      <c r="H5" t="s">
        <v>45</v>
      </c>
      <c r="I5" t="s">
        <v>28</v>
      </c>
      <c r="J5" t="s">
        <v>46</v>
      </c>
      <c r="K5" t="s">
        <v>21</v>
      </c>
      <c r="L5" t="s">
        <v>38</v>
      </c>
      <c r="M5">
        <f t="shared" si="0"/>
        <v>9</v>
      </c>
      <c r="N5" t="str">
        <f t="shared" si="1"/>
        <v>Low</v>
      </c>
      <c r="O5">
        <f t="shared" si="2"/>
        <v>30</v>
      </c>
    </row>
    <row r="6" spans="1:15" x14ac:dyDescent="0.3">
      <c r="A6" t="s">
        <v>47</v>
      </c>
      <c r="B6" t="s">
        <v>48</v>
      </c>
      <c r="C6" t="s">
        <v>49</v>
      </c>
      <c r="D6" t="s">
        <v>50</v>
      </c>
      <c r="E6" t="s">
        <v>51</v>
      </c>
      <c r="F6">
        <v>8835</v>
      </c>
      <c r="G6" t="s">
        <v>35</v>
      </c>
      <c r="H6" t="s">
        <v>52</v>
      </c>
      <c r="I6" t="s">
        <v>28</v>
      </c>
      <c r="J6" t="s">
        <v>20</v>
      </c>
      <c r="K6" t="s">
        <v>21</v>
      </c>
      <c r="L6" t="s">
        <v>38</v>
      </c>
      <c r="M6">
        <f t="shared" si="0"/>
        <v>9</v>
      </c>
      <c r="N6" t="str">
        <f t="shared" si="1"/>
        <v>Low</v>
      </c>
      <c r="O6">
        <f t="shared" si="2"/>
        <v>10</v>
      </c>
    </row>
    <row r="7" spans="1:15" x14ac:dyDescent="0.3">
      <c r="A7" t="s">
        <v>53</v>
      </c>
      <c r="B7" t="s">
        <v>54</v>
      </c>
      <c r="C7" t="s">
        <v>55</v>
      </c>
      <c r="D7" t="s">
        <v>56</v>
      </c>
      <c r="E7" t="s">
        <v>16</v>
      </c>
      <c r="F7">
        <v>49871</v>
      </c>
      <c r="G7" t="s">
        <v>44</v>
      </c>
      <c r="H7" t="s">
        <v>27</v>
      </c>
      <c r="I7" t="s">
        <v>19</v>
      </c>
      <c r="J7" t="s">
        <v>20</v>
      </c>
      <c r="K7" t="s">
        <v>57</v>
      </c>
      <c r="L7" t="s">
        <v>22</v>
      </c>
      <c r="M7">
        <f t="shared" si="0"/>
        <v>2</v>
      </c>
      <c r="N7" t="str">
        <f t="shared" si="1"/>
        <v>High</v>
      </c>
      <c r="O7">
        <f t="shared" si="2"/>
        <v>95</v>
      </c>
    </row>
    <row r="8" spans="1:15" x14ac:dyDescent="0.3">
      <c r="A8" t="s">
        <v>58</v>
      </c>
      <c r="B8" t="s">
        <v>59</v>
      </c>
      <c r="C8" t="s">
        <v>60</v>
      </c>
      <c r="D8" t="s">
        <v>61</v>
      </c>
      <c r="E8" t="s">
        <v>62</v>
      </c>
      <c r="F8">
        <v>6027</v>
      </c>
      <c r="G8" t="s">
        <v>63</v>
      </c>
      <c r="H8" t="s">
        <v>52</v>
      </c>
      <c r="I8" t="s">
        <v>19</v>
      </c>
      <c r="J8" t="s">
        <v>46</v>
      </c>
      <c r="K8" t="s">
        <v>21</v>
      </c>
      <c r="L8" t="s">
        <v>38</v>
      </c>
      <c r="M8">
        <f t="shared" si="0"/>
        <v>11</v>
      </c>
      <c r="N8" t="str">
        <f t="shared" si="1"/>
        <v>Low</v>
      </c>
      <c r="O8">
        <f t="shared" si="2"/>
        <v>30</v>
      </c>
    </row>
    <row r="9" spans="1:15" x14ac:dyDescent="0.3">
      <c r="A9" t="s">
        <v>64</v>
      </c>
      <c r="B9" t="s">
        <v>65</v>
      </c>
      <c r="C9" t="s">
        <v>66</v>
      </c>
      <c r="D9" t="s">
        <v>67</v>
      </c>
      <c r="E9" t="s">
        <v>51</v>
      </c>
      <c r="F9">
        <v>4060</v>
      </c>
      <c r="G9" t="s">
        <v>68</v>
      </c>
      <c r="H9" t="s">
        <v>27</v>
      </c>
      <c r="I9" t="s">
        <v>28</v>
      </c>
      <c r="J9" t="s">
        <v>46</v>
      </c>
      <c r="K9" t="s">
        <v>69</v>
      </c>
      <c r="L9" t="s">
        <v>38</v>
      </c>
      <c r="M9">
        <f t="shared" si="0"/>
        <v>11</v>
      </c>
      <c r="N9" t="str">
        <f t="shared" si="1"/>
        <v>Low</v>
      </c>
      <c r="O9">
        <f t="shared" si="2"/>
        <v>30</v>
      </c>
    </row>
    <row r="10" spans="1:15" x14ac:dyDescent="0.3">
      <c r="A10" t="s">
        <v>70</v>
      </c>
      <c r="B10" t="s">
        <v>71</v>
      </c>
      <c r="C10" t="s">
        <v>72</v>
      </c>
      <c r="D10" t="s">
        <v>73</v>
      </c>
      <c r="E10" t="s">
        <v>51</v>
      </c>
      <c r="F10">
        <v>13239</v>
      </c>
      <c r="G10" t="s">
        <v>63</v>
      </c>
      <c r="H10" t="s">
        <v>27</v>
      </c>
      <c r="I10" t="s">
        <v>28</v>
      </c>
      <c r="J10" t="s">
        <v>46</v>
      </c>
      <c r="K10" t="s">
        <v>29</v>
      </c>
      <c r="L10" t="s">
        <v>38</v>
      </c>
      <c r="M10">
        <f t="shared" si="0"/>
        <v>16</v>
      </c>
      <c r="N10" t="str">
        <f t="shared" si="1"/>
        <v>Low</v>
      </c>
      <c r="O10">
        <f t="shared" si="2"/>
        <v>30</v>
      </c>
    </row>
    <row r="11" spans="1:15" x14ac:dyDescent="0.3">
      <c r="A11" t="s">
        <v>74</v>
      </c>
      <c r="B11" t="s">
        <v>75</v>
      </c>
      <c r="C11" t="s">
        <v>76</v>
      </c>
      <c r="D11" t="s">
        <v>77</v>
      </c>
      <c r="E11" t="s">
        <v>78</v>
      </c>
      <c r="F11">
        <v>10582</v>
      </c>
      <c r="G11" t="s">
        <v>79</v>
      </c>
      <c r="H11" t="s">
        <v>27</v>
      </c>
      <c r="I11" t="s">
        <v>28</v>
      </c>
      <c r="J11" t="s">
        <v>46</v>
      </c>
      <c r="K11" t="s">
        <v>80</v>
      </c>
      <c r="L11" t="s">
        <v>38</v>
      </c>
      <c r="M11">
        <f t="shared" si="0"/>
        <v>20</v>
      </c>
      <c r="N11" t="str">
        <f t="shared" si="1"/>
        <v>Low</v>
      </c>
      <c r="O11">
        <f t="shared" si="2"/>
        <v>30</v>
      </c>
    </row>
    <row r="12" spans="1:15" x14ac:dyDescent="0.3">
      <c r="A12" t="s">
        <v>81</v>
      </c>
      <c r="B12" t="s">
        <v>82</v>
      </c>
      <c r="C12" t="s">
        <v>83</v>
      </c>
      <c r="D12" t="s">
        <v>84</v>
      </c>
      <c r="E12" t="s">
        <v>78</v>
      </c>
      <c r="F12">
        <v>6593</v>
      </c>
      <c r="G12" t="s">
        <v>68</v>
      </c>
      <c r="H12" t="s">
        <v>85</v>
      </c>
      <c r="I12" t="s">
        <v>19</v>
      </c>
      <c r="J12" t="s">
        <v>20</v>
      </c>
      <c r="K12" t="s">
        <v>69</v>
      </c>
      <c r="L12" t="s">
        <v>38</v>
      </c>
      <c r="M12">
        <f t="shared" si="0"/>
        <v>17</v>
      </c>
      <c r="N12" t="str">
        <f t="shared" si="1"/>
        <v>Low</v>
      </c>
      <c r="O12">
        <f t="shared" si="2"/>
        <v>10</v>
      </c>
    </row>
    <row r="13" spans="1:15" x14ac:dyDescent="0.3">
      <c r="A13" t="s">
        <v>86</v>
      </c>
      <c r="B13" t="s">
        <v>87</v>
      </c>
      <c r="C13" t="s">
        <v>88</v>
      </c>
      <c r="D13" t="s">
        <v>89</v>
      </c>
      <c r="E13" t="s">
        <v>16</v>
      </c>
      <c r="F13">
        <v>2671</v>
      </c>
      <c r="G13" t="s">
        <v>44</v>
      </c>
      <c r="H13" t="s">
        <v>36</v>
      </c>
      <c r="I13" t="s">
        <v>28</v>
      </c>
      <c r="J13" t="s">
        <v>20</v>
      </c>
      <c r="K13" t="s">
        <v>21</v>
      </c>
      <c r="L13" t="s">
        <v>38</v>
      </c>
      <c r="M13">
        <f t="shared" si="0"/>
        <v>19</v>
      </c>
      <c r="N13" t="str">
        <f t="shared" si="1"/>
        <v>Low</v>
      </c>
      <c r="O13">
        <f t="shared" si="2"/>
        <v>40</v>
      </c>
    </row>
    <row r="14" spans="1:15" x14ac:dyDescent="0.3">
      <c r="A14" t="s">
        <v>90</v>
      </c>
      <c r="B14" t="s">
        <v>91</v>
      </c>
      <c r="C14" t="s">
        <v>92</v>
      </c>
      <c r="D14" t="s">
        <v>93</v>
      </c>
      <c r="E14" t="s">
        <v>94</v>
      </c>
      <c r="F14">
        <v>238</v>
      </c>
      <c r="G14" t="s">
        <v>44</v>
      </c>
      <c r="H14" t="s">
        <v>52</v>
      </c>
      <c r="I14" t="s">
        <v>28</v>
      </c>
      <c r="J14" t="s">
        <v>95</v>
      </c>
      <c r="K14" t="s">
        <v>96</v>
      </c>
      <c r="L14" t="s">
        <v>38</v>
      </c>
      <c r="M14">
        <f t="shared" si="0"/>
        <v>9</v>
      </c>
      <c r="N14" t="str">
        <f t="shared" si="1"/>
        <v>Low</v>
      </c>
      <c r="O14">
        <f t="shared" si="2"/>
        <v>10</v>
      </c>
    </row>
    <row r="15" spans="1:15" x14ac:dyDescent="0.3">
      <c r="A15" t="s">
        <v>97</v>
      </c>
      <c r="B15" t="s">
        <v>98</v>
      </c>
      <c r="C15" t="s">
        <v>99</v>
      </c>
      <c r="D15" t="s">
        <v>100</v>
      </c>
      <c r="E15" t="s">
        <v>16</v>
      </c>
      <c r="F15">
        <v>103</v>
      </c>
      <c r="G15" t="s">
        <v>63</v>
      </c>
      <c r="H15" t="s">
        <v>18</v>
      </c>
      <c r="I15" t="s">
        <v>28</v>
      </c>
      <c r="J15" t="s">
        <v>20</v>
      </c>
      <c r="K15" t="s">
        <v>69</v>
      </c>
      <c r="L15" t="s">
        <v>38</v>
      </c>
      <c r="M15">
        <f t="shared" si="0"/>
        <v>14</v>
      </c>
      <c r="N15" t="str">
        <f t="shared" si="1"/>
        <v>Low</v>
      </c>
      <c r="O15">
        <f t="shared" si="2"/>
        <v>40</v>
      </c>
    </row>
    <row r="16" spans="1:15" x14ac:dyDescent="0.3">
      <c r="A16" t="s">
        <v>101</v>
      </c>
      <c r="B16" t="s">
        <v>102</v>
      </c>
      <c r="C16" t="s">
        <v>103</v>
      </c>
      <c r="D16" t="s">
        <v>104</v>
      </c>
      <c r="E16" t="s">
        <v>34</v>
      </c>
      <c r="F16">
        <v>2554</v>
      </c>
      <c r="G16" t="s">
        <v>68</v>
      </c>
      <c r="H16" t="s">
        <v>105</v>
      </c>
      <c r="I16" t="s">
        <v>28</v>
      </c>
      <c r="J16" t="s">
        <v>20</v>
      </c>
      <c r="K16" t="s">
        <v>57</v>
      </c>
      <c r="L16" t="s">
        <v>38</v>
      </c>
      <c r="M16">
        <f t="shared" si="0"/>
        <v>17</v>
      </c>
      <c r="N16" t="str">
        <f t="shared" si="1"/>
        <v>Low</v>
      </c>
      <c r="O16">
        <f t="shared" si="2"/>
        <v>10</v>
      </c>
    </row>
    <row r="17" spans="1:15" x14ac:dyDescent="0.3">
      <c r="A17" t="s">
        <v>106</v>
      </c>
      <c r="B17" t="s">
        <v>87</v>
      </c>
      <c r="C17" t="s">
        <v>107</v>
      </c>
      <c r="D17" t="s">
        <v>108</v>
      </c>
      <c r="E17" t="s">
        <v>78</v>
      </c>
      <c r="F17">
        <v>14446</v>
      </c>
      <c r="G17" t="s">
        <v>17</v>
      </c>
      <c r="H17" t="s">
        <v>18</v>
      </c>
      <c r="I17" t="s">
        <v>19</v>
      </c>
      <c r="J17" t="s">
        <v>20</v>
      </c>
      <c r="K17" t="s">
        <v>80</v>
      </c>
      <c r="L17" t="s">
        <v>38</v>
      </c>
      <c r="M17">
        <f t="shared" si="0"/>
        <v>15</v>
      </c>
      <c r="N17" t="str">
        <f t="shared" si="1"/>
        <v>Low</v>
      </c>
      <c r="O17">
        <f t="shared" si="2"/>
        <v>10</v>
      </c>
    </row>
    <row r="18" spans="1:15" x14ac:dyDescent="0.3">
      <c r="A18" t="s">
        <v>109</v>
      </c>
      <c r="B18" t="s">
        <v>110</v>
      </c>
      <c r="C18" t="s">
        <v>111</v>
      </c>
      <c r="D18" t="s">
        <v>112</v>
      </c>
      <c r="E18" t="s">
        <v>78</v>
      </c>
      <c r="F18">
        <v>8777</v>
      </c>
      <c r="G18" t="s">
        <v>79</v>
      </c>
      <c r="H18" t="s">
        <v>113</v>
      </c>
      <c r="I18" t="s">
        <v>28</v>
      </c>
      <c r="J18" t="s">
        <v>95</v>
      </c>
      <c r="K18" t="s">
        <v>21</v>
      </c>
      <c r="L18" t="s">
        <v>38</v>
      </c>
      <c r="M18">
        <f t="shared" si="0"/>
        <v>10</v>
      </c>
      <c r="N18" t="str">
        <f t="shared" si="1"/>
        <v>Low</v>
      </c>
      <c r="O18">
        <f t="shared" si="2"/>
        <v>10</v>
      </c>
    </row>
    <row r="19" spans="1:15" x14ac:dyDescent="0.3">
      <c r="A19" t="s">
        <v>114</v>
      </c>
      <c r="B19" t="s">
        <v>115</v>
      </c>
      <c r="C19" t="s">
        <v>116</v>
      </c>
      <c r="D19" t="s">
        <v>117</v>
      </c>
      <c r="E19" t="s">
        <v>94</v>
      </c>
      <c r="F19">
        <v>8885</v>
      </c>
      <c r="G19" t="s">
        <v>17</v>
      </c>
      <c r="H19" t="s">
        <v>45</v>
      </c>
      <c r="I19" t="s">
        <v>28</v>
      </c>
      <c r="J19" t="s">
        <v>46</v>
      </c>
      <c r="K19" t="s">
        <v>21</v>
      </c>
      <c r="L19" t="s">
        <v>38</v>
      </c>
      <c r="M19">
        <f t="shared" si="0"/>
        <v>12</v>
      </c>
      <c r="N19" t="str">
        <f t="shared" si="1"/>
        <v>Low</v>
      </c>
      <c r="O19">
        <f t="shared" si="2"/>
        <v>30</v>
      </c>
    </row>
    <row r="20" spans="1:15" x14ac:dyDescent="0.3">
      <c r="A20" t="s">
        <v>118</v>
      </c>
      <c r="B20" t="s">
        <v>119</v>
      </c>
      <c r="C20" t="s">
        <v>120</v>
      </c>
      <c r="D20" t="s">
        <v>121</v>
      </c>
      <c r="E20" t="s">
        <v>43</v>
      </c>
      <c r="F20">
        <v>1099</v>
      </c>
      <c r="G20" t="s">
        <v>68</v>
      </c>
      <c r="H20" t="s">
        <v>27</v>
      </c>
      <c r="I20" t="s">
        <v>19</v>
      </c>
      <c r="J20" t="s">
        <v>95</v>
      </c>
      <c r="K20" t="s">
        <v>96</v>
      </c>
      <c r="L20" t="s">
        <v>38</v>
      </c>
      <c r="M20">
        <f t="shared" si="0"/>
        <v>16</v>
      </c>
      <c r="N20" t="str">
        <f t="shared" si="1"/>
        <v>Low</v>
      </c>
      <c r="O20">
        <f t="shared" si="2"/>
        <v>10</v>
      </c>
    </row>
    <row r="21" spans="1:15" x14ac:dyDescent="0.3">
      <c r="A21" t="s">
        <v>122</v>
      </c>
      <c r="B21" t="s">
        <v>123</v>
      </c>
      <c r="C21" t="s">
        <v>124</v>
      </c>
      <c r="D21" t="s">
        <v>125</v>
      </c>
      <c r="E21" t="s">
        <v>16</v>
      </c>
      <c r="F21">
        <v>28834</v>
      </c>
      <c r="G21" t="s">
        <v>17</v>
      </c>
      <c r="H21" t="s">
        <v>27</v>
      </c>
      <c r="I21" t="s">
        <v>28</v>
      </c>
      <c r="J21" t="s">
        <v>46</v>
      </c>
      <c r="K21" t="s">
        <v>80</v>
      </c>
      <c r="L21" t="s">
        <v>22</v>
      </c>
      <c r="M21">
        <f t="shared" si="0"/>
        <v>0</v>
      </c>
      <c r="N21" t="str">
        <f t="shared" si="1"/>
        <v>High</v>
      </c>
      <c r="O21">
        <f t="shared" si="2"/>
        <v>115</v>
      </c>
    </row>
    <row r="22" spans="1:15" x14ac:dyDescent="0.3">
      <c r="A22" t="s">
        <v>126</v>
      </c>
      <c r="B22" t="s">
        <v>127</v>
      </c>
      <c r="C22" t="s">
        <v>128</v>
      </c>
      <c r="D22" t="s">
        <v>129</v>
      </c>
      <c r="E22" t="s">
        <v>78</v>
      </c>
      <c r="F22">
        <v>11901</v>
      </c>
      <c r="G22" t="s">
        <v>68</v>
      </c>
      <c r="H22" t="s">
        <v>36</v>
      </c>
      <c r="I22" t="s">
        <v>19</v>
      </c>
      <c r="J22" t="s">
        <v>46</v>
      </c>
      <c r="K22" t="s">
        <v>96</v>
      </c>
      <c r="L22" t="s">
        <v>38</v>
      </c>
      <c r="M22">
        <f t="shared" si="0"/>
        <v>21</v>
      </c>
      <c r="N22" t="str">
        <f t="shared" si="1"/>
        <v>Low</v>
      </c>
      <c r="O22">
        <f t="shared" si="2"/>
        <v>30</v>
      </c>
    </row>
    <row r="23" spans="1:15" x14ac:dyDescent="0.3">
      <c r="A23" t="s">
        <v>130</v>
      </c>
      <c r="B23" t="s">
        <v>131</v>
      </c>
      <c r="C23" t="s">
        <v>132</v>
      </c>
      <c r="D23" t="s">
        <v>133</v>
      </c>
      <c r="E23" t="s">
        <v>51</v>
      </c>
      <c r="F23">
        <v>6989</v>
      </c>
      <c r="G23" t="s">
        <v>63</v>
      </c>
      <c r="H23" t="s">
        <v>18</v>
      </c>
      <c r="I23" t="s">
        <v>19</v>
      </c>
      <c r="J23" t="s">
        <v>95</v>
      </c>
      <c r="K23" t="s">
        <v>57</v>
      </c>
      <c r="L23" t="s">
        <v>38</v>
      </c>
      <c r="M23">
        <f t="shared" si="0"/>
        <v>19</v>
      </c>
      <c r="N23" t="str">
        <f t="shared" si="1"/>
        <v>Low</v>
      </c>
      <c r="O23">
        <f t="shared" si="2"/>
        <v>10</v>
      </c>
    </row>
    <row r="24" spans="1:15" x14ac:dyDescent="0.3">
      <c r="A24" t="s">
        <v>134</v>
      </c>
      <c r="B24" t="s">
        <v>135</v>
      </c>
      <c r="C24" t="s">
        <v>136</v>
      </c>
      <c r="D24" t="s">
        <v>137</v>
      </c>
      <c r="E24" t="s">
        <v>78</v>
      </c>
      <c r="F24">
        <v>1840</v>
      </c>
      <c r="G24" t="s">
        <v>35</v>
      </c>
      <c r="H24" t="s">
        <v>85</v>
      </c>
      <c r="I24" t="s">
        <v>19</v>
      </c>
      <c r="J24" t="s">
        <v>20</v>
      </c>
      <c r="K24" t="s">
        <v>57</v>
      </c>
      <c r="L24" t="s">
        <v>38</v>
      </c>
      <c r="M24">
        <f t="shared" si="0"/>
        <v>13</v>
      </c>
      <c r="N24" t="str">
        <f t="shared" si="1"/>
        <v>Low</v>
      </c>
      <c r="O24">
        <f t="shared" si="2"/>
        <v>10</v>
      </c>
    </row>
    <row r="25" spans="1:15" x14ac:dyDescent="0.3">
      <c r="A25" t="s">
        <v>138</v>
      </c>
      <c r="B25" t="s">
        <v>139</v>
      </c>
      <c r="C25" t="s">
        <v>140</v>
      </c>
      <c r="D25" t="s">
        <v>141</v>
      </c>
      <c r="E25" t="s">
        <v>51</v>
      </c>
      <c r="F25">
        <v>14377</v>
      </c>
      <c r="G25" t="s">
        <v>35</v>
      </c>
      <c r="H25" t="s">
        <v>105</v>
      </c>
      <c r="I25" t="s">
        <v>19</v>
      </c>
      <c r="J25" t="s">
        <v>95</v>
      </c>
      <c r="K25" t="s">
        <v>96</v>
      </c>
      <c r="L25" t="s">
        <v>38</v>
      </c>
      <c r="M25">
        <f t="shared" si="0"/>
        <v>8</v>
      </c>
      <c r="N25" t="str">
        <f t="shared" si="1"/>
        <v>Low</v>
      </c>
      <c r="O25">
        <f t="shared" si="2"/>
        <v>10</v>
      </c>
    </row>
    <row r="26" spans="1:15" x14ac:dyDescent="0.3">
      <c r="A26" t="s">
        <v>142</v>
      </c>
      <c r="B26" t="s">
        <v>143</v>
      </c>
      <c r="C26" t="s">
        <v>144</v>
      </c>
      <c r="D26" t="s">
        <v>145</v>
      </c>
      <c r="E26" t="s">
        <v>34</v>
      </c>
      <c r="F26">
        <v>7936</v>
      </c>
      <c r="G26" t="s">
        <v>68</v>
      </c>
      <c r="H26" t="s">
        <v>105</v>
      </c>
      <c r="I26" t="s">
        <v>19</v>
      </c>
      <c r="J26" t="s">
        <v>46</v>
      </c>
      <c r="K26" t="s">
        <v>57</v>
      </c>
      <c r="L26" t="s">
        <v>38</v>
      </c>
      <c r="M26">
        <f t="shared" si="0"/>
        <v>12</v>
      </c>
      <c r="N26" t="str">
        <f t="shared" si="1"/>
        <v>Low</v>
      </c>
      <c r="O26">
        <f t="shared" si="2"/>
        <v>30</v>
      </c>
    </row>
    <row r="27" spans="1:15" x14ac:dyDescent="0.3">
      <c r="A27" t="s">
        <v>146</v>
      </c>
      <c r="B27" t="s">
        <v>147</v>
      </c>
      <c r="C27" t="s">
        <v>148</v>
      </c>
      <c r="D27" t="s">
        <v>149</v>
      </c>
      <c r="E27" t="s">
        <v>62</v>
      </c>
      <c r="F27">
        <v>12896</v>
      </c>
      <c r="G27" t="s">
        <v>44</v>
      </c>
      <c r="H27" t="s">
        <v>85</v>
      </c>
      <c r="I27" t="s">
        <v>19</v>
      </c>
      <c r="J27" t="s">
        <v>46</v>
      </c>
      <c r="K27" t="s">
        <v>29</v>
      </c>
      <c r="L27" t="s">
        <v>38</v>
      </c>
      <c r="M27">
        <f t="shared" si="0"/>
        <v>20</v>
      </c>
      <c r="N27" t="str">
        <f t="shared" si="1"/>
        <v>Low</v>
      </c>
      <c r="O27">
        <f t="shared" si="2"/>
        <v>30</v>
      </c>
    </row>
    <row r="28" spans="1:15" x14ac:dyDescent="0.3">
      <c r="A28" t="s">
        <v>150</v>
      </c>
      <c r="B28" t="s">
        <v>40</v>
      </c>
      <c r="C28" t="s">
        <v>151</v>
      </c>
      <c r="D28" t="s">
        <v>117</v>
      </c>
      <c r="E28" t="s">
        <v>94</v>
      </c>
      <c r="F28">
        <v>9539</v>
      </c>
      <c r="G28" t="s">
        <v>79</v>
      </c>
      <c r="H28" t="s">
        <v>105</v>
      </c>
      <c r="I28" t="s">
        <v>28</v>
      </c>
      <c r="J28" t="s">
        <v>46</v>
      </c>
      <c r="K28" t="s">
        <v>21</v>
      </c>
      <c r="L28" t="s">
        <v>38</v>
      </c>
      <c r="M28">
        <f t="shared" si="0"/>
        <v>7</v>
      </c>
      <c r="N28" t="str">
        <f t="shared" si="1"/>
        <v>Low</v>
      </c>
      <c r="O28">
        <f t="shared" si="2"/>
        <v>30</v>
      </c>
    </row>
    <row r="29" spans="1:15" x14ac:dyDescent="0.3">
      <c r="A29" t="s">
        <v>152</v>
      </c>
      <c r="B29" t="s">
        <v>153</v>
      </c>
      <c r="C29" t="s">
        <v>124</v>
      </c>
      <c r="D29" t="s">
        <v>154</v>
      </c>
      <c r="E29" t="s">
        <v>16</v>
      </c>
      <c r="F29">
        <v>86562</v>
      </c>
      <c r="G29" t="s">
        <v>68</v>
      </c>
      <c r="H29" t="s">
        <v>18</v>
      </c>
      <c r="I29" t="s">
        <v>19</v>
      </c>
      <c r="J29" t="s">
        <v>20</v>
      </c>
      <c r="K29" t="s">
        <v>57</v>
      </c>
      <c r="L29" t="s">
        <v>22</v>
      </c>
      <c r="M29">
        <f t="shared" si="0"/>
        <v>0</v>
      </c>
      <c r="N29" t="str">
        <f t="shared" si="1"/>
        <v>High</v>
      </c>
      <c r="O29">
        <f t="shared" si="2"/>
        <v>95</v>
      </c>
    </row>
    <row r="30" spans="1:15" x14ac:dyDescent="0.3">
      <c r="A30" t="s">
        <v>155</v>
      </c>
      <c r="B30" t="s">
        <v>156</v>
      </c>
      <c r="C30" t="s">
        <v>157</v>
      </c>
      <c r="D30" t="s">
        <v>158</v>
      </c>
      <c r="E30" t="s">
        <v>16</v>
      </c>
      <c r="F30">
        <v>9790</v>
      </c>
      <c r="G30" t="s">
        <v>63</v>
      </c>
      <c r="H30" t="s">
        <v>45</v>
      </c>
      <c r="I30" t="s">
        <v>28</v>
      </c>
      <c r="J30" t="s">
        <v>20</v>
      </c>
      <c r="K30" t="s">
        <v>29</v>
      </c>
      <c r="L30" t="s">
        <v>38</v>
      </c>
      <c r="M30">
        <f t="shared" si="0"/>
        <v>7</v>
      </c>
      <c r="N30" t="str">
        <f t="shared" si="1"/>
        <v>Low</v>
      </c>
      <c r="O30">
        <f t="shared" si="2"/>
        <v>40</v>
      </c>
    </row>
    <row r="31" spans="1:15" x14ac:dyDescent="0.3">
      <c r="A31" t="s">
        <v>159</v>
      </c>
      <c r="B31" t="s">
        <v>160</v>
      </c>
      <c r="C31" t="s">
        <v>161</v>
      </c>
      <c r="D31" t="s">
        <v>162</v>
      </c>
      <c r="E31" t="s">
        <v>94</v>
      </c>
      <c r="F31">
        <v>6534</v>
      </c>
      <c r="G31" t="s">
        <v>68</v>
      </c>
      <c r="H31" t="s">
        <v>85</v>
      </c>
      <c r="I31" t="s">
        <v>28</v>
      </c>
      <c r="J31" t="s">
        <v>95</v>
      </c>
      <c r="K31" t="s">
        <v>69</v>
      </c>
      <c r="L31" t="s">
        <v>38</v>
      </c>
      <c r="M31">
        <f t="shared" si="0"/>
        <v>10</v>
      </c>
      <c r="N31" t="str">
        <f t="shared" si="1"/>
        <v>Low</v>
      </c>
      <c r="O31">
        <f t="shared" si="2"/>
        <v>10</v>
      </c>
    </row>
    <row r="32" spans="1:15" x14ac:dyDescent="0.3">
      <c r="A32" t="s">
        <v>163</v>
      </c>
      <c r="B32" t="s">
        <v>164</v>
      </c>
      <c r="C32" t="s">
        <v>165</v>
      </c>
      <c r="D32" t="s">
        <v>166</v>
      </c>
      <c r="E32" t="s">
        <v>43</v>
      </c>
      <c r="F32">
        <v>9274</v>
      </c>
      <c r="G32" t="s">
        <v>68</v>
      </c>
      <c r="H32" t="s">
        <v>52</v>
      </c>
      <c r="I32" t="s">
        <v>19</v>
      </c>
      <c r="J32" t="s">
        <v>95</v>
      </c>
      <c r="K32" t="s">
        <v>37</v>
      </c>
      <c r="L32" t="s">
        <v>38</v>
      </c>
      <c r="M32">
        <f t="shared" si="0"/>
        <v>9</v>
      </c>
      <c r="N32" t="str">
        <f t="shared" si="1"/>
        <v>Low</v>
      </c>
      <c r="O32">
        <f t="shared" si="2"/>
        <v>10</v>
      </c>
    </row>
    <row r="33" spans="1:15" x14ac:dyDescent="0.3">
      <c r="A33" t="s">
        <v>167</v>
      </c>
      <c r="B33" t="s">
        <v>168</v>
      </c>
      <c r="C33" t="s">
        <v>169</v>
      </c>
      <c r="D33" t="s">
        <v>170</v>
      </c>
      <c r="E33" t="s">
        <v>34</v>
      </c>
      <c r="F33">
        <v>2634</v>
      </c>
      <c r="G33" t="s">
        <v>79</v>
      </c>
      <c r="H33" t="s">
        <v>52</v>
      </c>
      <c r="I33" t="s">
        <v>19</v>
      </c>
      <c r="J33" t="s">
        <v>95</v>
      </c>
      <c r="K33" t="s">
        <v>80</v>
      </c>
      <c r="L33" t="s">
        <v>38</v>
      </c>
      <c r="M33">
        <f t="shared" si="0"/>
        <v>20</v>
      </c>
      <c r="N33" t="str">
        <f t="shared" si="1"/>
        <v>Low</v>
      </c>
      <c r="O33">
        <f t="shared" si="2"/>
        <v>10</v>
      </c>
    </row>
    <row r="34" spans="1:15" x14ac:dyDescent="0.3">
      <c r="A34" t="s">
        <v>171</v>
      </c>
      <c r="B34" t="s">
        <v>172</v>
      </c>
      <c r="C34" t="s">
        <v>173</v>
      </c>
      <c r="D34" t="s">
        <v>174</v>
      </c>
      <c r="E34" t="s">
        <v>62</v>
      </c>
      <c r="F34">
        <v>1747</v>
      </c>
      <c r="G34" t="s">
        <v>44</v>
      </c>
      <c r="H34" t="s">
        <v>18</v>
      </c>
      <c r="I34" t="s">
        <v>19</v>
      </c>
      <c r="J34" t="s">
        <v>20</v>
      </c>
      <c r="K34" t="s">
        <v>37</v>
      </c>
      <c r="L34" t="s">
        <v>38</v>
      </c>
      <c r="M34">
        <f t="shared" si="0"/>
        <v>10</v>
      </c>
      <c r="N34" t="str">
        <f t="shared" si="1"/>
        <v>Low</v>
      </c>
      <c r="O34">
        <f t="shared" si="2"/>
        <v>10</v>
      </c>
    </row>
    <row r="35" spans="1:15" x14ac:dyDescent="0.3">
      <c r="A35" t="s">
        <v>175</v>
      </c>
      <c r="B35" t="s">
        <v>176</v>
      </c>
      <c r="C35" t="s">
        <v>177</v>
      </c>
      <c r="D35" t="s">
        <v>178</v>
      </c>
      <c r="E35" t="s">
        <v>94</v>
      </c>
      <c r="F35">
        <v>5667</v>
      </c>
      <c r="G35" t="s">
        <v>68</v>
      </c>
      <c r="H35" t="s">
        <v>52</v>
      </c>
      <c r="I35" t="s">
        <v>28</v>
      </c>
      <c r="J35" t="s">
        <v>95</v>
      </c>
      <c r="K35" t="s">
        <v>37</v>
      </c>
      <c r="L35" t="s">
        <v>38</v>
      </c>
      <c r="M35">
        <f t="shared" si="0"/>
        <v>12</v>
      </c>
      <c r="N35" t="str">
        <f t="shared" si="1"/>
        <v>Low</v>
      </c>
      <c r="O35">
        <f t="shared" si="2"/>
        <v>10</v>
      </c>
    </row>
    <row r="36" spans="1:15" x14ac:dyDescent="0.3">
      <c r="A36" t="s">
        <v>179</v>
      </c>
      <c r="B36" t="s">
        <v>180</v>
      </c>
      <c r="C36" t="s">
        <v>181</v>
      </c>
      <c r="D36" t="s">
        <v>182</v>
      </c>
      <c r="E36" t="s">
        <v>43</v>
      </c>
      <c r="F36">
        <v>13638</v>
      </c>
      <c r="G36" t="s">
        <v>63</v>
      </c>
      <c r="H36" t="s">
        <v>113</v>
      </c>
      <c r="I36" t="s">
        <v>28</v>
      </c>
      <c r="J36" t="s">
        <v>20</v>
      </c>
      <c r="K36" t="s">
        <v>29</v>
      </c>
      <c r="L36" t="s">
        <v>38</v>
      </c>
      <c r="M36">
        <f t="shared" si="0"/>
        <v>14</v>
      </c>
      <c r="N36" t="str">
        <f t="shared" si="1"/>
        <v>Low</v>
      </c>
      <c r="O36">
        <f t="shared" si="2"/>
        <v>10</v>
      </c>
    </row>
    <row r="37" spans="1:15" x14ac:dyDescent="0.3">
      <c r="A37" t="s">
        <v>183</v>
      </c>
      <c r="B37" t="s">
        <v>184</v>
      </c>
      <c r="C37" t="s">
        <v>185</v>
      </c>
      <c r="D37" t="s">
        <v>166</v>
      </c>
      <c r="E37" t="s">
        <v>43</v>
      </c>
      <c r="F37">
        <v>7057</v>
      </c>
      <c r="G37" t="s">
        <v>44</v>
      </c>
      <c r="H37" t="s">
        <v>113</v>
      </c>
      <c r="I37" t="s">
        <v>19</v>
      </c>
      <c r="J37" t="s">
        <v>20</v>
      </c>
      <c r="K37" t="s">
        <v>69</v>
      </c>
      <c r="L37" t="s">
        <v>38</v>
      </c>
      <c r="M37">
        <f t="shared" si="0"/>
        <v>6</v>
      </c>
      <c r="N37" t="str">
        <f t="shared" si="1"/>
        <v>Low</v>
      </c>
      <c r="O37">
        <f t="shared" si="2"/>
        <v>10</v>
      </c>
    </row>
    <row r="38" spans="1:15" x14ac:dyDescent="0.3">
      <c r="A38" t="s">
        <v>186</v>
      </c>
      <c r="B38" t="s">
        <v>187</v>
      </c>
      <c r="C38" t="s">
        <v>188</v>
      </c>
      <c r="D38" t="s">
        <v>121</v>
      </c>
      <c r="E38" t="s">
        <v>43</v>
      </c>
      <c r="F38">
        <v>7091</v>
      </c>
      <c r="G38" t="s">
        <v>63</v>
      </c>
      <c r="H38" t="s">
        <v>105</v>
      </c>
      <c r="I38" t="s">
        <v>28</v>
      </c>
      <c r="J38" t="s">
        <v>46</v>
      </c>
      <c r="K38" t="s">
        <v>29</v>
      </c>
      <c r="L38" t="s">
        <v>38</v>
      </c>
      <c r="M38">
        <f t="shared" si="0"/>
        <v>10</v>
      </c>
      <c r="N38" t="str">
        <f t="shared" si="1"/>
        <v>Low</v>
      </c>
      <c r="O38">
        <f t="shared" si="2"/>
        <v>30</v>
      </c>
    </row>
    <row r="39" spans="1:15" x14ac:dyDescent="0.3">
      <c r="A39" t="s">
        <v>189</v>
      </c>
      <c r="B39" t="s">
        <v>190</v>
      </c>
      <c r="C39" t="s">
        <v>191</v>
      </c>
      <c r="D39" t="s">
        <v>192</v>
      </c>
      <c r="E39" t="s">
        <v>16</v>
      </c>
      <c r="F39">
        <v>5844</v>
      </c>
      <c r="G39" t="s">
        <v>35</v>
      </c>
      <c r="H39" t="s">
        <v>27</v>
      </c>
      <c r="I39" t="s">
        <v>19</v>
      </c>
      <c r="J39" t="s">
        <v>95</v>
      </c>
      <c r="K39" t="s">
        <v>69</v>
      </c>
      <c r="L39" t="s">
        <v>38</v>
      </c>
      <c r="M39">
        <f t="shared" si="0"/>
        <v>19</v>
      </c>
      <c r="N39" t="str">
        <f t="shared" si="1"/>
        <v>Low</v>
      </c>
      <c r="O39">
        <f t="shared" si="2"/>
        <v>40</v>
      </c>
    </row>
    <row r="40" spans="1:15" x14ac:dyDescent="0.3">
      <c r="A40" t="s">
        <v>193</v>
      </c>
      <c r="B40" t="s">
        <v>194</v>
      </c>
      <c r="C40" t="s">
        <v>195</v>
      </c>
      <c r="D40" t="s">
        <v>196</v>
      </c>
      <c r="E40" t="s">
        <v>16</v>
      </c>
      <c r="F40">
        <v>63540</v>
      </c>
      <c r="G40" t="s">
        <v>68</v>
      </c>
      <c r="H40" t="s">
        <v>113</v>
      </c>
      <c r="I40" t="s">
        <v>19</v>
      </c>
      <c r="J40" t="s">
        <v>20</v>
      </c>
      <c r="K40" t="s">
        <v>57</v>
      </c>
      <c r="L40" t="s">
        <v>22</v>
      </c>
      <c r="M40">
        <f t="shared" si="0"/>
        <v>3</v>
      </c>
      <c r="N40" t="str">
        <f t="shared" si="1"/>
        <v>High</v>
      </c>
      <c r="O40">
        <f t="shared" si="2"/>
        <v>95</v>
      </c>
    </row>
    <row r="41" spans="1:15" x14ac:dyDescent="0.3">
      <c r="A41" t="s">
        <v>197</v>
      </c>
      <c r="B41" t="s">
        <v>198</v>
      </c>
      <c r="C41" t="s">
        <v>199</v>
      </c>
      <c r="D41" t="s">
        <v>200</v>
      </c>
      <c r="E41" t="s">
        <v>62</v>
      </c>
      <c r="F41">
        <v>13428</v>
      </c>
      <c r="G41" t="s">
        <v>63</v>
      </c>
      <c r="H41" t="s">
        <v>27</v>
      </c>
      <c r="I41" t="s">
        <v>19</v>
      </c>
      <c r="J41" t="s">
        <v>46</v>
      </c>
      <c r="K41" t="s">
        <v>96</v>
      </c>
      <c r="L41" t="s">
        <v>38</v>
      </c>
      <c r="M41">
        <f t="shared" si="0"/>
        <v>20</v>
      </c>
      <c r="N41" t="str">
        <f t="shared" si="1"/>
        <v>Low</v>
      </c>
      <c r="O41">
        <f t="shared" si="2"/>
        <v>30</v>
      </c>
    </row>
    <row r="42" spans="1:15" x14ac:dyDescent="0.3">
      <c r="A42" t="s">
        <v>201</v>
      </c>
      <c r="B42" t="s">
        <v>202</v>
      </c>
      <c r="C42" t="s">
        <v>203</v>
      </c>
      <c r="D42" t="s">
        <v>204</v>
      </c>
      <c r="E42" t="s">
        <v>34</v>
      </c>
      <c r="F42">
        <v>4614</v>
      </c>
      <c r="G42" t="s">
        <v>68</v>
      </c>
      <c r="H42" t="s">
        <v>36</v>
      </c>
      <c r="I42" t="s">
        <v>28</v>
      </c>
      <c r="J42" t="s">
        <v>46</v>
      </c>
      <c r="K42" t="s">
        <v>96</v>
      </c>
      <c r="L42" t="s">
        <v>38</v>
      </c>
      <c r="M42">
        <f t="shared" si="0"/>
        <v>8</v>
      </c>
      <c r="N42" t="str">
        <f t="shared" si="1"/>
        <v>Low</v>
      </c>
      <c r="O42">
        <f t="shared" si="2"/>
        <v>30</v>
      </c>
    </row>
    <row r="43" spans="1:15" x14ac:dyDescent="0.3">
      <c r="A43" t="s">
        <v>205</v>
      </c>
      <c r="B43" t="s">
        <v>206</v>
      </c>
      <c r="C43" t="s">
        <v>207</v>
      </c>
      <c r="D43" t="s">
        <v>112</v>
      </c>
      <c r="E43" t="s">
        <v>43</v>
      </c>
      <c r="F43">
        <v>4399</v>
      </c>
      <c r="G43" t="s">
        <v>79</v>
      </c>
      <c r="H43" t="s">
        <v>45</v>
      </c>
      <c r="I43" t="s">
        <v>28</v>
      </c>
      <c r="J43" t="s">
        <v>95</v>
      </c>
      <c r="K43" t="s">
        <v>57</v>
      </c>
      <c r="L43" t="s">
        <v>38</v>
      </c>
      <c r="M43">
        <f t="shared" si="0"/>
        <v>7</v>
      </c>
      <c r="N43" t="str">
        <f t="shared" si="1"/>
        <v>Low</v>
      </c>
      <c r="O43">
        <f t="shared" si="2"/>
        <v>10</v>
      </c>
    </row>
    <row r="44" spans="1:15" x14ac:dyDescent="0.3">
      <c r="A44" t="s">
        <v>208</v>
      </c>
      <c r="B44" t="s">
        <v>209</v>
      </c>
      <c r="C44" t="s">
        <v>210</v>
      </c>
      <c r="D44" t="s">
        <v>211</v>
      </c>
      <c r="E44" t="s">
        <v>16</v>
      </c>
      <c r="F44">
        <v>44914</v>
      </c>
      <c r="G44" t="s">
        <v>79</v>
      </c>
      <c r="H44" t="s">
        <v>36</v>
      </c>
      <c r="I44" t="s">
        <v>19</v>
      </c>
      <c r="J44" t="s">
        <v>20</v>
      </c>
      <c r="K44" t="s">
        <v>21</v>
      </c>
      <c r="L44" t="s">
        <v>22</v>
      </c>
      <c r="M44">
        <f t="shared" si="0"/>
        <v>2</v>
      </c>
      <c r="N44" t="str">
        <f t="shared" si="1"/>
        <v>High</v>
      </c>
      <c r="O44">
        <f t="shared" si="2"/>
        <v>95</v>
      </c>
    </row>
    <row r="45" spans="1:15" x14ac:dyDescent="0.3">
      <c r="A45" t="s">
        <v>212</v>
      </c>
      <c r="B45" t="s">
        <v>213</v>
      </c>
      <c r="C45" t="s">
        <v>214</v>
      </c>
      <c r="D45" t="s">
        <v>215</v>
      </c>
      <c r="E45" t="s">
        <v>62</v>
      </c>
      <c r="F45">
        <v>12206</v>
      </c>
      <c r="G45" t="s">
        <v>68</v>
      </c>
      <c r="H45" t="s">
        <v>45</v>
      </c>
      <c r="I45" t="s">
        <v>28</v>
      </c>
      <c r="J45" t="s">
        <v>46</v>
      </c>
      <c r="K45" t="s">
        <v>80</v>
      </c>
      <c r="L45" t="s">
        <v>38</v>
      </c>
      <c r="M45">
        <f t="shared" si="0"/>
        <v>12</v>
      </c>
      <c r="N45" t="str">
        <f t="shared" si="1"/>
        <v>Low</v>
      </c>
      <c r="O45">
        <f t="shared" si="2"/>
        <v>30</v>
      </c>
    </row>
    <row r="46" spans="1:15" x14ac:dyDescent="0.3">
      <c r="A46" t="s">
        <v>216</v>
      </c>
      <c r="B46" t="s">
        <v>172</v>
      </c>
      <c r="C46" t="s">
        <v>217</v>
      </c>
      <c r="D46" t="s">
        <v>218</v>
      </c>
      <c r="E46" t="s">
        <v>62</v>
      </c>
      <c r="F46">
        <v>10976</v>
      </c>
      <c r="G46" t="s">
        <v>17</v>
      </c>
      <c r="H46" t="s">
        <v>52</v>
      </c>
      <c r="I46" t="s">
        <v>19</v>
      </c>
      <c r="J46" t="s">
        <v>46</v>
      </c>
      <c r="K46" t="s">
        <v>29</v>
      </c>
      <c r="L46" t="s">
        <v>38</v>
      </c>
      <c r="M46">
        <f t="shared" si="0"/>
        <v>19</v>
      </c>
      <c r="N46" t="str">
        <f t="shared" si="1"/>
        <v>Low</v>
      </c>
      <c r="O46">
        <f t="shared" si="2"/>
        <v>30</v>
      </c>
    </row>
    <row r="47" spans="1:15" x14ac:dyDescent="0.3">
      <c r="A47" t="s">
        <v>219</v>
      </c>
      <c r="B47" t="s">
        <v>220</v>
      </c>
      <c r="C47" t="s">
        <v>221</v>
      </c>
      <c r="D47" t="s">
        <v>222</v>
      </c>
      <c r="E47" t="s">
        <v>16</v>
      </c>
      <c r="F47">
        <v>11147</v>
      </c>
      <c r="G47" t="s">
        <v>44</v>
      </c>
      <c r="H47" t="s">
        <v>36</v>
      </c>
      <c r="I47" t="s">
        <v>19</v>
      </c>
      <c r="J47" t="s">
        <v>95</v>
      </c>
      <c r="K47" t="s">
        <v>37</v>
      </c>
      <c r="L47" t="s">
        <v>38</v>
      </c>
      <c r="M47">
        <f t="shared" si="0"/>
        <v>11</v>
      </c>
      <c r="N47" t="str">
        <f t="shared" si="1"/>
        <v>Low</v>
      </c>
      <c r="O47">
        <f t="shared" si="2"/>
        <v>40</v>
      </c>
    </row>
    <row r="48" spans="1:15" x14ac:dyDescent="0.3">
      <c r="A48" t="s">
        <v>223</v>
      </c>
      <c r="B48" t="s">
        <v>224</v>
      </c>
      <c r="C48" t="s">
        <v>225</v>
      </c>
      <c r="D48" t="s">
        <v>170</v>
      </c>
      <c r="E48" t="s">
        <v>51</v>
      </c>
      <c r="F48">
        <v>9552</v>
      </c>
      <c r="G48" t="s">
        <v>63</v>
      </c>
      <c r="H48" t="s">
        <v>27</v>
      </c>
      <c r="I48" t="s">
        <v>28</v>
      </c>
      <c r="J48" t="s">
        <v>46</v>
      </c>
      <c r="K48" t="s">
        <v>69</v>
      </c>
      <c r="L48" t="s">
        <v>38</v>
      </c>
      <c r="M48">
        <f t="shared" si="0"/>
        <v>16</v>
      </c>
      <c r="N48" t="str">
        <f t="shared" si="1"/>
        <v>Low</v>
      </c>
      <c r="O48">
        <f t="shared" si="2"/>
        <v>30</v>
      </c>
    </row>
    <row r="49" spans="1:15" x14ac:dyDescent="0.3">
      <c r="A49" t="s">
        <v>226</v>
      </c>
      <c r="B49" t="s">
        <v>65</v>
      </c>
      <c r="C49" t="s">
        <v>227</v>
      </c>
      <c r="D49" t="s">
        <v>228</v>
      </c>
      <c r="E49" t="s">
        <v>94</v>
      </c>
      <c r="F49">
        <v>4699</v>
      </c>
      <c r="G49" t="s">
        <v>35</v>
      </c>
      <c r="H49" t="s">
        <v>45</v>
      </c>
      <c r="I49" t="s">
        <v>19</v>
      </c>
      <c r="J49" t="s">
        <v>95</v>
      </c>
      <c r="K49" t="s">
        <v>69</v>
      </c>
      <c r="L49" t="s">
        <v>38</v>
      </c>
      <c r="M49">
        <f t="shared" si="0"/>
        <v>22</v>
      </c>
      <c r="N49" t="str">
        <f t="shared" si="1"/>
        <v>Low</v>
      </c>
      <c r="O49">
        <f t="shared" si="2"/>
        <v>10</v>
      </c>
    </row>
    <row r="50" spans="1:15" x14ac:dyDescent="0.3">
      <c r="A50" t="s">
        <v>229</v>
      </c>
      <c r="B50" t="s">
        <v>230</v>
      </c>
      <c r="C50" t="s">
        <v>231</v>
      </c>
      <c r="D50" t="s">
        <v>232</v>
      </c>
      <c r="E50" t="s">
        <v>78</v>
      </c>
      <c r="F50">
        <v>13264</v>
      </c>
      <c r="G50" t="s">
        <v>68</v>
      </c>
      <c r="H50" t="s">
        <v>27</v>
      </c>
      <c r="I50" t="s">
        <v>28</v>
      </c>
      <c r="J50" t="s">
        <v>20</v>
      </c>
      <c r="K50" t="s">
        <v>21</v>
      </c>
      <c r="L50" t="s">
        <v>38</v>
      </c>
      <c r="M50">
        <f t="shared" si="0"/>
        <v>12</v>
      </c>
      <c r="N50" t="str">
        <f t="shared" si="1"/>
        <v>Low</v>
      </c>
      <c r="O50">
        <f t="shared" si="2"/>
        <v>10</v>
      </c>
    </row>
    <row r="51" spans="1:15" x14ac:dyDescent="0.3">
      <c r="A51" t="s">
        <v>233</v>
      </c>
      <c r="B51" t="s">
        <v>59</v>
      </c>
      <c r="C51" t="s">
        <v>234</v>
      </c>
      <c r="D51" t="s">
        <v>235</v>
      </c>
      <c r="E51" t="s">
        <v>94</v>
      </c>
      <c r="F51">
        <v>10368</v>
      </c>
      <c r="G51" t="s">
        <v>35</v>
      </c>
      <c r="H51" t="s">
        <v>85</v>
      </c>
      <c r="I51" t="s">
        <v>28</v>
      </c>
      <c r="J51" t="s">
        <v>95</v>
      </c>
      <c r="K51" t="s">
        <v>29</v>
      </c>
      <c r="L51" t="s">
        <v>38</v>
      </c>
      <c r="M51">
        <f t="shared" si="0"/>
        <v>12</v>
      </c>
      <c r="N51" t="str">
        <f t="shared" si="1"/>
        <v>Low</v>
      </c>
      <c r="O51">
        <f t="shared" si="2"/>
        <v>10</v>
      </c>
    </row>
    <row r="52" spans="1:15" x14ac:dyDescent="0.3">
      <c r="A52" t="s">
        <v>236</v>
      </c>
      <c r="B52" t="s">
        <v>237</v>
      </c>
      <c r="C52" t="s">
        <v>238</v>
      </c>
      <c r="D52" t="s">
        <v>215</v>
      </c>
      <c r="E52" t="s">
        <v>34</v>
      </c>
      <c r="F52">
        <v>14675</v>
      </c>
      <c r="G52" t="s">
        <v>79</v>
      </c>
      <c r="H52" t="s">
        <v>113</v>
      </c>
      <c r="I52" t="s">
        <v>28</v>
      </c>
      <c r="J52" t="s">
        <v>46</v>
      </c>
      <c r="K52" t="s">
        <v>96</v>
      </c>
      <c r="L52" t="s">
        <v>38</v>
      </c>
      <c r="M52">
        <f t="shared" si="0"/>
        <v>9</v>
      </c>
      <c r="N52" t="str">
        <f t="shared" si="1"/>
        <v>Low</v>
      </c>
      <c r="O52">
        <f t="shared" si="2"/>
        <v>30</v>
      </c>
    </row>
    <row r="53" spans="1:15" x14ac:dyDescent="0.3">
      <c r="A53" t="s">
        <v>239</v>
      </c>
      <c r="B53" t="s">
        <v>190</v>
      </c>
      <c r="C53" t="s">
        <v>240</v>
      </c>
      <c r="D53" t="s">
        <v>241</v>
      </c>
      <c r="E53" t="s">
        <v>78</v>
      </c>
      <c r="F53">
        <v>2038</v>
      </c>
      <c r="G53" t="s">
        <v>63</v>
      </c>
      <c r="H53" t="s">
        <v>45</v>
      </c>
      <c r="I53" t="s">
        <v>28</v>
      </c>
      <c r="J53" t="s">
        <v>46</v>
      </c>
      <c r="K53" t="s">
        <v>21</v>
      </c>
      <c r="L53" t="s">
        <v>38</v>
      </c>
      <c r="M53">
        <f t="shared" si="0"/>
        <v>20</v>
      </c>
      <c r="N53" t="str">
        <f t="shared" si="1"/>
        <v>Low</v>
      </c>
      <c r="O53">
        <f t="shared" si="2"/>
        <v>30</v>
      </c>
    </row>
    <row r="54" spans="1:15" x14ac:dyDescent="0.3">
      <c r="A54" t="s">
        <v>242</v>
      </c>
      <c r="B54" t="s">
        <v>102</v>
      </c>
      <c r="C54" t="s">
        <v>243</v>
      </c>
      <c r="D54" t="s">
        <v>93</v>
      </c>
      <c r="E54" t="s">
        <v>78</v>
      </c>
      <c r="F54">
        <v>14907</v>
      </c>
      <c r="G54" t="s">
        <v>35</v>
      </c>
      <c r="H54" t="s">
        <v>85</v>
      </c>
      <c r="I54" t="s">
        <v>28</v>
      </c>
      <c r="J54" t="s">
        <v>95</v>
      </c>
      <c r="K54" t="s">
        <v>37</v>
      </c>
      <c r="L54" t="s">
        <v>38</v>
      </c>
      <c r="M54">
        <f t="shared" si="0"/>
        <v>20</v>
      </c>
      <c r="N54" t="str">
        <f t="shared" si="1"/>
        <v>Low</v>
      </c>
      <c r="O54">
        <f t="shared" si="2"/>
        <v>10</v>
      </c>
    </row>
    <row r="55" spans="1:15" x14ac:dyDescent="0.3">
      <c r="A55" t="s">
        <v>244</v>
      </c>
      <c r="B55" t="s">
        <v>13</v>
      </c>
      <c r="C55" t="s">
        <v>245</v>
      </c>
      <c r="D55" t="s">
        <v>246</v>
      </c>
      <c r="E55" t="s">
        <v>51</v>
      </c>
      <c r="F55">
        <v>12791</v>
      </c>
      <c r="G55" t="s">
        <v>63</v>
      </c>
      <c r="H55" t="s">
        <v>52</v>
      </c>
      <c r="I55" t="s">
        <v>28</v>
      </c>
      <c r="J55" t="s">
        <v>95</v>
      </c>
      <c r="K55" t="s">
        <v>96</v>
      </c>
      <c r="L55" t="s">
        <v>38</v>
      </c>
      <c r="M55">
        <f t="shared" si="0"/>
        <v>22</v>
      </c>
      <c r="N55" t="str">
        <f t="shared" si="1"/>
        <v>Low</v>
      </c>
      <c r="O55">
        <f t="shared" si="2"/>
        <v>10</v>
      </c>
    </row>
    <row r="56" spans="1:15" x14ac:dyDescent="0.3">
      <c r="A56" t="s">
        <v>247</v>
      </c>
      <c r="B56" t="s">
        <v>248</v>
      </c>
      <c r="C56" t="s">
        <v>249</v>
      </c>
      <c r="D56" t="s">
        <v>250</v>
      </c>
      <c r="E56" t="s">
        <v>16</v>
      </c>
      <c r="F56">
        <v>5552</v>
      </c>
      <c r="G56" t="s">
        <v>63</v>
      </c>
      <c r="H56" t="s">
        <v>113</v>
      </c>
      <c r="I56" t="s">
        <v>19</v>
      </c>
      <c r="J56" t="s">
        <v>20</v>
      </c>
      <c r="K56" t="s">
        <v>57</v>
      </c>
      <c r="L56" t="s">
        <v>38</v>
      </c>
      <c r="M56">
        <f t="shared" si="0"/>
        <v>16</v>
      </c>
      <c r="N56" t="str">
        <f t="shared" si="1"/>
        <v>Low</v>
      </c>
      <c r="O56">
        <f t="shared" si="2"/>
        <v>40</v>
      </c>
    </row>
    <row r="57" spans="1:15" x14ac:dyDescent="0.3">
      <c r="A57" t="s">
        <v>251</v>
      </c>
      <c r="B57" t="s">
        <v>252</v>
      </c>
      <c r="C57" t="s">
        <v>253</v>
      </c>
      <c r="D57" t="s">
        <v>254</v>
      </c>
      <c r="E57" t="s">
        <v>51</v>
      </c>
      <c r="F57">
        <v>1102</v>
      </c>
      <c r="G57" t="s">
        <v>35</v>
      </c>
      <c r="H57" t="s">
        <v>85</v>
      </c>
      <c r="I57" t="s">
        <v>28</v>
      </c>
      <c r="J57" t="s">
        <v>46</v>
      </c>
      <c r="K57" t="s">
        <v>96</v>
      </c>
      <c r="L57" t="s">
        <v>38</v>
      </c>
      <c r="M57">
        <f t="shared" si="0"/>
        <v>19</v>
      </c>
      <c r="N57" t="str">
        <f t="shared" si="1"/>
        <v>Low</v>
      </c>
      <c r="O57">
        <f t="shared" si="2"/>
        <v>30</v>
      </c>
    </row>
    <row r="58" spans="1:15" x14ac:dyDescent="0.3">
      <c r="A58" t="s">
        <v>255</v>
      </c>
      <c r="B58" t="s">
        <v>256</v>
      </c>
      <c r="C58" t="s">
        <v>257</v>
      </c>
      <c r="D58" t="s">
        <v>258</v>
      </c>
      <c r="E58" t="s">
        <v>34</v>
      </c>
      <c r="F58">
        <v>12662</v>
      </c>
      <c r="G58" t="s">
        <v>44</v>
      </c>
      <c r="H58" t="s">
        <v>85</v>
      </c>
      <c r="I58" t="s">
        <v>19</v>
      </c>
      <c r="J58" t="s">
        <v>95</v>
      </c>
      <c r="K58" t="s">
        <v>37</v>
      </c>
      <c r="L58" t="s">
        <v>38</v>
      </c>
      <c r="M58">
        <f t="shared" si="0"/>
        <v>6</v>
      </c>
      <c r="N58" t="str">
        <f t="shared" si="1"/>
        <v>Low</v>
      </c>
      <c r="O58">
        <f t="shared" si="2"/>
        <v>10</v>
      </c>
    </row>
    <row r="59" spans="1:15" x14ac:dyDescent="0.3">
      <c r="A59" t="s">
        <v>259</v>
      </c>
      <c r="B59" t="s">
        <v>147</v>
      </c>
      <c r="C59" t="s">
        <v>260</v>
      </c>
      <c r="D59" t="s">
        <v>261</v>
      </c>
      <c r="E59" t="s">
        <v>16</v>
      </c>
      <c r="F59">
        <v>13742</v>
      </c>
      <c r="G59" t="s">
        <v>44</v>
      </c>
      <c r="H59" t="s">
        <v>27</v>
      </c>
      <c r="I59" t="s">
        <v>28</v>
      </c>
      <c r="J59" t="s">
        <v>95</v>
      </c>
      <c r="K59" t="s">
        <v>29</v>
      </c>
      <c r="L59" t="s">
        <v>38</v>
      </c>
      <c r="M59">
        <f t="shared" si="0"/>
        <v>19</v>
      </c>
      <c r="N59" t="str">
        <f t="shared" si="1"/>
        <v>Low</v>
      </c>
      <c r="O59">
        <f t="shared" si="2"/>
        <v>40</v>
      </c>
    </row>
    <row r="60" spans="1:15" x14ac:dyDescent="0.3">
      <c r="A60" t="s">
        <v>262</v>
      </c>
      <c r="B60" t="s">
        <v>98</v>
      </c>
      <c r="C60" t="s">
        <v>263</v>
      </c>
      <c r="D60" t="s">
        <v>264</v>
      </c>
      <c r="E60" t="s">
        <v>94</v>
      </c>
      <c r="F60">
        <v>6421</v>
      </c>
      <c r="G60" t="s">
        <v>17</v>
      </c>
      <c r="H60" t="s">
        <v>36</v>
      </c>
      <c r="I60" t="s">
        <v>19</v>
      </c>
      <c r="J60" t="s">
        <v>95</v>
      </c>
      <c r="K60" t="s">
        <v>69</v>
      </c>
      <c r="L60" t="s">
        <v>38</v>
      </c>
      <c r="M60">
        <f t="shared" si="0"/>
        <v>16</v>
      </c>
      <c r="N60" t="str">
        <f t="shared" si="1"/>
        <v>Low</v>
      </c>
      <c r="O60">
        <f t="shared" si="2"/>
        <v>10</v>
      </c>
    </row>
    <row r="61" spans="1:15" x14ac:dyDescent="0.3">
      <c r="A61" t="s">
        <v>265</v>
      </c>
      <c r="B61" t="s">
        <v>266</v>
      </c>
      <c r="C61" t="s">
        <v>267</v>
      </c>
      <c r="D61" t="s">
        <v>268</v>
      </c>
      <c r="E61" t="s">
        <v>51</v>
      </c>
      <c r="F61">
        <v>8801</v>
      </c>
      <c r="G61" t="s">
        <v>17</v>
      </c>
      <c r="H61" t="s">
        <v>105</v>
      </c>
      <c r="I61" t="s">
        <v>19</v>
      </c>
      <c r="J61" t="s">
        <v>95</v>
      </c>
      <c r="K61" t="s">
        <v>80</v>
      </c>
      <c r="L61" t="s">
        <v>38</v>
      </c>
      <c r="M61">
        <f t="shared" si="0"/>
        <v>6</v>
      </c>
      <c r="N61" t="str">
        <f t="shared" si="1"/>
        <v>Low</v>
      </c>
      <c r="O61">
        <f t="shared" si="2"/>
        <v>10</v>
      </c>
    </row>
    <row r="62" spans="1:15" x14ac:dyDescent="0.3">
      <c r="A62" t="s">
        <v>269</v>
      </c>
      <c r="B62" t="s">
        <v>270</v>
      </c>
      <c r="C62" t="s">
        <v>271</v>
      </c>
      <c r="D62" t="s">
        <v>272</v>
      </c>
      <c r="E62" t="s">
        <v>62</v>
      </c>
      <c r="F62">
        <v>3027</v>
      </c>
      <c r="G62" t="s">
        <v>44</v>
      </c>
      <c r="H62" t="s">
        <v>27</v>
      </c>
      <c r="I62" t="s">
        <v>28</v>
      </c>
      <c r="J62" t="s">
        <v>46</v>
      </c>
      <c r="K62" t="s">
        <v>37</v>
      </c>
      <c r="L62" t="s">
        <v>38</v>
      </c>
      <c r="M62">
        <f t="shared" si="0"/>
        <v>7</v>
      </c>
      <c r="N62" t="str">
        <f t="shared" si="1"/>
        <v>Low</v>
      </c>
      <c r="O62">
        <f t="shared" si="2"/>
        <v>30</v>
      </c>
    </row>
    <row r="63" spans="1:15" x14ac:dyDescent="0.3">
      <c r="A63" t="s">
        <v>273</v>
      </c>
      <c r="B63" t="s">
        <v>274</v>
      </c>
      <c r="C63" t="s">
        <v>275</v>
      </c>
      <c r="D63" t="s">
        <v>276</v>
      </c>
      <c r="E63" t="s">
        <v>62</v>
      </c>
      <c r="F63">
        <v>13680</v>
      </c>
      <c r="G63" t="s">
        <v>35</v>
      </c>
      <c r="H63" t="s">
        <v>105</v>
      </c>
      <c r="I63" t="s">
        <v>19</v>
      </c>
      <c r="J63" t="s">
        <v>20</v>
      </c>
      <c r="K63" t="s">
        <v>37</v>
      </c>
      <c r="L63" t="s">
        <v>38</v>
      </c>
      <c r="M63">
        <f t="shared" si="0"/>
        <v>19</v>
      </c>
      <c r="N63" t="str">
        <f t="shared" si="1"/>
        <v>Low</v>
      </c>
      <c r="O63">
        <f t="shared" si="2"/>
        <v>10</v>
      </c>
    </row>
    <row r="64" spans="1:15" x14ac:dyDescent="0.3">
      <c r="A64" t="s">
        <v>277</v>
      </c>
      <c r="B64" t="s">
        <v>278</v>
      </c>
      <c r="C64" t="s">
        <v>279</v>
      </c>
      <c r="D64" t="s">
        <v>280</v>
      </c>
      <c r="E64" t="s">
        <v>16</v>
      </c>
      <c r="F64">
        <v>25276</v>
      </c>
      <c r="G64" t="s">
        <v>35</v>
      </c>
      <c r="H64" t="s">
        <v>105</v>
      </c>
      <c r="I64" t="s">
        <v>19</v>
      </c>
      <c r="J64" t="s">
        <v>20</v>
      </c>
      <c r="K64" t="s">
        <v>29</v>
      </c>
      <c r="L64" t="s">
        <v>22</v>
      </c>
      <c r="M64">
        <f t="shared" si="0"/>
        <v>0</v>
      </c>
      <c r="N64" t="str">
        <f t="shared" si="1"/>
        <v>High</v>
      </c>
      <c r="O64">
        <f t="shared" si="2"/>
        <v>95</v>
      </c>
    </row>
    <row r="65" spans="1:15" x14ac:dyDescent="0.3">
      <c r="A65" t="s">
        <v>281</v>
      </c>
      <c r="B65" t="s">
        <v>282</v>
      </c>
      <c r="C65" t="s">
        <v>283</v>
      </c>
      <c r="D65" t="s">
        <v>284</v>
      </c>
      <c r="E65" t="s">
        <v>51</v>
      </c>
      <c r="F65">
        <v>9290</v>
      </c>
      <c r="G65" t="s">
        <v>79</v>
      </c>
      <c r="H65" t="s">
        <v>45</v>
      </c>
      <c r="I65" t="s">
        <v>19</v>
      </c>
      <c r="J65" t="s">
        <v>95</v>
      </c>
      <c r="K65" t="s">
        <v>21</v>
      </c>
      <c r="L65" t="s">
        <v>38</v>
      </c>
      <c r="M65">
        <f t="shared" si="0"/>
        <v>12</v>
      </c>
      <c r="N65" t="str">
        <f t="shared" si="1"/>
        <v>Low</v>
      </c>
      <c r="O65">
        <f t="shared" si="2"/>
        <v>10</v>
      </c>
    </row>
    <row r="66" spans="1:15" x14ac:dyDescent="0.3">
      <c r="A66" t="s">
        <v>285</v>
      </c>
      <c r="B66" t="s">
        <v>286</v>
      </c>
      <c r="C66" t="s">
        <v>287</v>
      </c>
      <c r="D66" t="s">
        <v>288</v>
      </c>
      <c r="E66" t="s">
        <v>43</v>
      </c>
      <c r="F66">
        <v>2733</v>
      </c>
      <c r="G66" t="s">
        <v>63</v>
      </c>
      <c r="H66" t="s">
        <v>52</v>
      </c>
      <c r="I66" t="s">
        <v>28</v>
      </c>
      <c r="J66" t="s">
        <v>95</v>
      </c>
      <c r="K66" t="s">
        <v>57</v>
      </c>
      <c r="L66" t="s">
        <v>38</v>
      </c>
      <c r="M66">
        <f t="shared" ref="M66:M129" si="3">HOUR(C66)</f>
        <v>15</v>
      </c>
      <c r="N66" t="str">
        <f t="shared" ref="N66:N129" si="4">IF(L66="Yes","High","Low")</f>
        <v>Low</v>
      </c>
      <c r="O66">
        <f t="shared" ref="O66:O129" si="5">IF(F66&gt;20000,50,10)+IF(J66="Failed",20,0)+IF(E66="Unknown",30,0)+IF(M66&lt;5,15,0)</f>
        <v>10</v>
      </c>
    </row>
    <row r="67" spans="1:15" x14ac:dyDescent="0.3">
      <c r="A67" t="s">
        <v>289</v>
      </c>
      <c r="B67" t="s">
        <v>290</v>
      </c>
      <c r="C67" t="s">
        <v>291</v>
      </c>
      <c r="D67" t="s">
        <v>292</v>
      </c>
      <c r="E67" t="s">
        <v>16</v>
      </c>
      <c r="F67">
        <v>51830</v>
      </c>
      <c r="G67" t="s">
        <v>79</v>
      </c>
      <c r="H67" t="s">
        <v>18</v>
      </c>
      <c r="I67" t="s">
        <v>19</v>
      </c>
      <c r="J67" t="s">
        <v>46</v>
      </c>
      <c r="K67" t="s">
        <v>37</v>
      </c>
      <c r="L67" t="s">
        <v>22</v>
      </c>
      <c r="M67">
        <f t="shared" si="3"/>
        <v>0</v>
      </c>
      <c r="N67" t="str">
        <f t="shared" si="4"/>
        <v>High</v>
      </c>
      <c r="O67">
        <f t="shared" si="5"/>
        <v>115</v>
      </c>
    </row>
    <row r="68" spans="1:15" x14ac:dyDescent="0.3">
      <c r="A68" t="s">
        <v>293</v>
      </c>
      <c r="B68" t="s">
        <v>82</v>
      </c>
      <c r="C68" t="s">
        <v>294</v>
      </c>
      <c r="D68" t="s">
        <v>73</v>
      </c>
      <c r="E68" t="s">
        <v>94</v>
      </c>
      <c r="F68">
        <v>1179</v>
      </c>
      <c r="G68" t="s">
        <v>17</v>
      </c>
      <c r="H68" t="s">
        <v>36</v>
      </c>
      <c r="I68" t="s">
        <v>28</v>
      </c>
      <c r="J68" t="s">
        <v>46</v>
      </c>
      <c r="K68" t="s">
        <v>96</v>
      </c>
      <c r="L68" t="s">
        <v>38</v>
      </c>
      <c r="M68">
        <f t="shared" si="3"/>
        <v>22</v>
      </c>
      <c r="N68" t="str">
        <f t="shared" si="4"/>
        <v>Low</v>
      </c>
      <c r="O68">
        <f t="shared" si="5"/>
        <v>30</v>
      </c>
    </row>
    <row r="69" spans="1:15" x14ac:dyDescent="0.3">
      <c r="A69" t="s">
        <v>295</v>
      </c>
      <c r="B69" t="s">
        <v>296</v>
      </c>
      <c r="C69" t="s">
        <v>297</v>
      </c>
      <c r="D69" t="s">
        <v>298</v>
      </c>
      <c r="E69" t="s">
        <v>94</v>
      </c>
      <c r="F69">
        <v>13627</v>
      </c>
      <c r="G69" t="s">
        <v>79</v>
      </c>
      <c r="H69" t="s">
        <v>113</v>
      </c>
      <c r="I69" t="s">
        <v>28</v>
      </c>
      <c r="J69" t="s">
        <v>20</v>
      </c>
      <c r="K69" t="s">
        <v>21</v>
      </c>
      <c r="L69" t="s">
        <v>38</v>
      </c>
      <c r="M69">
        <f t="shared" si="3"/>
        <v>20</v>
      </c>
      <c r="N69" t="str">
        <f t="shared" si="4"/>
        <v>Low</v>
      </c>
      <c r="O69">
        <f t="shared" si="5"/>
        <v>10</v>
      </c>
    </row>
    <row r="70" spans="1:15" x14ac:dyDescent="0.3">
      <c r="A70" t="s">
        <v>299</v>
      </c>
      <c r="B70" t="s">
        <v>300</v>
      </c>
      <c r="C70" t="s">
        <v>301</v>
      </c>
      <c r="D70" t="s">
        <v>154</v>
      </c>
      <c r="E70" t="s">
        <v>62</v>
      </c>
      <c r="F70">
        <v>13578</v>
      </c>
      <c r="G70" t="s">
        <v>35</v>
      </c>
      <c r="H70" t="s">
        <v>18</v>
      </c>
      <c r="I70" t="s">
        <v>28</v>
      </c>
      <c r="J70" t="s">
        <v>20</v>
      </c>
      <c r="K70" t="s">
        <v>57</v>
      </c>
      <c r="L70" t="s">
        <v>38</v>
      </c>
      <c r="M70">
        <f t="shared" si="3"/>
        <v>14</v>
      </c>
      <c r="N70" t="str">
        <f t="shared" si="4"/>
        <v>Low</v>
      </c>
      <c r="O70">
        <f t="shared" si="5"/>
        <v>10</v>
      </c>
    </row>
    <row r="71" spans="1:15" x14ac:dyDescent="0.3">
      <c r="A71" t="s">
        <v>302</v>
      </c>
      <c r="B71" t="s">
        <v>303</v>
      </c>
      <c r="C71" t="s">
        <v>304</v>
      </c>
      <c r="D71" t="s">
        <v>162</v>
      </c>
      <c r="E71" t="s">
        <v>62</v>
      </c>
      <c r="F71">
        <v>10997</v>
      </c>
      <c r="G71" t="s">
        <v>35</v>
      </c>
      <c r="H71" t="s">
        <v>45</v>
      </c>
      <c r="I71" t="s">
        <v>19</v>
      </c>
      <c r="J71" t="s">
        <v>20</v>
      </c>
      <c r="K71" t="s">
        <v>57</v>
      </c>
      <c r="L71" t="s">
        <v>38</v>
      </c>
      <c r="M71">
        <f t="shared" si="3"/>
        <v>18</v>
      </c>
      <c r="N71" t="str">
        <f t="shared" si="4"/>
        <v>Low</v>
      </c>
      <c r="O71">
        <f t="shared" si="5"/>
        <v>10</v>
      </c>
    </row>
    <row r="72" spans="1:15" x14ac:dyDescent="0.3">
      <c r="A72" t="s">
        <v>305</v>
      </c>
      <c r="B72" t="s">
        <v>306</v>
      </c>
      <c r="C72" t="s">
        <v>307</v>
      </c>
      <c r="D72" t="s">
        <v>93</v>
      </c>
      <c r="E72" t="s">
        <v>16</v>
      </c>
      <c r="F72">
        <v>5626</v>
      </c>
      <c r="G72" t="s">
        <v>35</v>
      </c>
      <c r="H72" t="s">
        <v>52</v>
      </c>
      <c r="I72" t="s">
        <v>19</v>
      </c>
      <c r="J72" t="s">
        <v>95</v>
      </c>
      <c r="K72" t="s">
        <v>21</v>
      </c>
      <c r="L72" t="s">
        <v>38</v>
      </c>
      <c r="M72">
        <f t="shared" si="3"/>
        <v>14</v>
      </c>
      <c r="N72" t="str">
        <f t="shared" si="4"/>
        <v>Low</v>
      </c>
      <c r="O72">
        <f t="shared" si="5"/>
        <v>40</v>
      </c>
    </row>
    <row r="73" spans="1:15" x14ac:dyDescent="0.3">
      <c r="A73" t="s">
        <v>308</v>
      </c>
      <c r="B73" t="s">
        <v>309</v>
      </c>
      <c r="C73" t="s">
        <v>310</v>
      </c>
      <c r="D73" t="s">
        <v>311</v>
      </c>
      <c r="E73" t="s">
        <v>16</v>
      </c>
      <c r="F73">
        <v>6708</v>
      </c>
      <c r="G73" t="s">
        <v>68</v>
      </c>
      <c r="H73" t="s">
        <v>85</v>
      </c>
      <c r="I73" t="s">
        <v>28</v>
      </c>
      <c r="J73" t="s">
        <v>20</v>
      </c>
      <c r="K73" t="s">
        <v>57</v>
      </c>
      <c r="L73" t="s">
        <v>38</v>
      </c>
      <c r="M73">
        <f t="shared" si="3"/>
        <v>21</v>
      </c>
      <c r="N73" t="str">
        <f t="shared" si="4"/>
        <v>Low</v>
      </c>
      <c r="O73">
        <f t="shared" si="5"/>
        <v>40</v>
      </c>
    </row>
    <row r="74" spans="1:15" x14ac:dyDescent="0.3">
      <c r="A74" t="s">
        <v>312</v>
      </c>
      <c r="B74" t="s">
        <v>180</v>
      </c>
      <c r="C74" t="s">
        <v>313</v>
      </c>
      <c r="D74" t="s">
        <v>314</v>
      </c>
      <c r="E74" t="s">
        <v>62</v>
      </c>
      <c r="F74">
        <v>6675</v>
      </c>
      <c r="G74" t="s">
        <v>79</v>
      </c>
      <c r="H74" t="s">
        <v>45</v>
      </c>
      <c r="I74" t="s">
        <v>28</v>
      </c>
      <c r="J74" t="s">
        <v>95</v>
      </c>
      <c r="K74" t="s">
        <v>21</v>
      </c>
      <c r="L74" t="s">
        <v>38</v>
      </c>
      <c r="M74">
        <f t="shared" si="3"/>
        <v>13</v>
      </c>
      <c r="N74" t="str">
        <f t="shared" si="4"/>
        <v>Low</v>
      </c>
      <c r="O74">
        <f t="shared" si="5"/>
        <v>10</v>
      </c>
    </row>
    <row r="75" spans="1:15" x14ac:dyDescent="0.3">
      <c r="A75" t="s">
        <v>315</v>
      </c>
      <c r="B75" t="s">
        <v>316</v>
      </c>
      <c r="C75" t="s">
        <v>317</v>
      </c>
      <c r="D75" t="s">
        <v>318</v>
      </c>
      <c r="E75" t="s">
        <v>62</v>
      </c>
      <c r="F75">
        <v>12271</v>
      </c>
      <c r="G75" t="s">
        <v>35</v>
      </c>
      <c r="H75" t="s">
        <v>52</v>
      </c>
      <c r="I75" t="s">
        <v>28</v>
      </c>
      <c r="J75" t="s">
        <v>95</v>
      </c>
      <c r="K75" t="s">
        <v>37</v>
      </c>
      <c r="L75" t="s">
        <v>38</v>
      </c>
      <c r="M75">
        <f t="shared" si="3"/>
        <v>16</v>
      </c>
      <c r="N75" t="str">
        <f t="shared" si="4"/>
        <v>Low</v>
      </c>
      <c r="O75">
        <f t="shared" si="5"/>
        <v>10</v>
      </c>
    </row>
    <row r="76" spans="1:15" x14ac:dyDescent="0.3">
      <c r="A76" t="s">
        <v>319</v>
      </c>
      <c r="B76" t="s">
        <v>119</v>
      </c>
      <c r="C76" t="s">
        <v>92</v>
      </c>
      <c r="D76" t="s">
        <v>320</v>
      </c>
      <c r="E76" t="s">
        <v>94</v>
      </c>
      <c r="F76">
        <v>5219</v>
      </c>
      <c r="G76" t="s">
        <v>63</v>
      </c>
      <c r="H76" t="s">
        <v>113</v>
      </c>
      <c r="I76" t="s">
        <v>19</v>
      </c>
      <c r="J76" t="s">
        <v>95</v>
      </c>
      <c r="K76" t="s">
        <v>29</v>
      </c>
      <c r="L76" t="s">
        <v>38</v>
      </c>
      <c r="M76">
        <f t="shared" si="3"/>
        <v>9</v>
      </c>
      <c r="N76" t="str">
        <f t="shared" si="4"/>
        <v>Low</v>
      </c>
      <c r="O76">
        <f t="shared" si="5"/>
        <v>10</v>
      </c>
    </row>
    <row r="77" spans="1:15" x14ac:dyDescent="0.3">
      <c r="A77" t="s">
        <v>321</v>
      </c>
      <c r="B77" t="s">
        <v>300</v>
      </c>
      <c r="C77" t="s">
        <v>322</v>
      </c>
      <c r="D77" t="s">
        <v>323</v>
      </c>
      <c r="E77" t="s">
        <v>16</v>
      </c>
      <c r="F77">
        <v>9709</v>
      </c>
      <c r="G77" t="s">
        <v>44</v>
      </c>
      <c r="H77" t="s">
        <v>27</v>
      </c>
      <c r="I77" t="s">
        <v>28</v>
      </c>
      <c r="J77" t="s">
        <v>46</v>
      </c>
      <c r="K77" t="s">
        <v>29</v>
      </c>
      <c r="L77" t="s">
        <v>38</v>
      </c>
      <c r="M77">
        <f t="shared" si="3"/>
        <v>22</v>
      </c>
      <c r="N77" t="str">
        <f t="shared" si="4"/>
        <v>Low</v>
      </c>
      <c r="O77">
        <f t="shared" si="5"/>
        <v>60</v>
      </c>
    </row>
    <row r="78" spans="1:15" x14ac:dyDescent="0.3">
      <c r="A78" t="s">
        <v>324</v>
      </c>
      <c r="B78" t="s">
        <v>325</v>
      </c>
      <c r="C78" t="s">
        <v>326</v>
      </c>
      <c r="D78" t="s">
        <v>327</v>
      </c>
      <c r="E78" t="s">
        <v>62</v>
      </c>
      <c r="F78">
        <v>11650</v>
      </c>
      <c r="G78" t="s">
        <v>17</v>
      </c>
      <c r="H78" t="s">
        <v>52</v>
      </c>
      <c r="I78" t="s">
        <v>19</v>
      </c>
      <c r="J78" t="s">
        <v>20</v>
      </c>
      <c r="K78" t="s">
        <v>80</v>
      </c>
      <c r="L78" t="s">
        <v>38</v>
      </c>
      <c r="M78">
        <f t="shared" si="3"/>
        <v>10</v>
      </c>
      <c r="N78" t="str">
        <f t="shared" si="4"/>
        <v>Low</v>
      </c>
      <c r="O78">
        <f t="shared" si="5"/>
        <v>10</v>
      </c>
    </row>
    <row r="79" spans="1:15" x14ac:dyDescent="0.3">
      <c r="A79" t="s">
        <v>328</v>
      </c>
      <c r="B79" t="s">
        <v>329</v>
      </c>
      <c r="C79" t="s">
        <v>330</v>
      </c>
      <c r="D79" t="s">
        <v>331</v>
      </c>
      <c r="E79" t="s">
        <v>51</v>
      </c>
      <c r="F79">
        <v>9455</v>
      </c>
      <c r="G79" t="s">
        <v>44</v>
      </c>
      <c r="H79" t="s">
        <v>45</v>
      </c>
      <c r="I79" t="s">
        <v>19</v>
      </c>
      <c r="J79" t="s">
        <v>46</v>
      </c>
      <c r="K79" t="s">
        <v>96</v>
      </c>
      <c r="L79" t="s">
        <v>38</v>
      </c>
      <c r="M79">
        <f t="shared" si="3"/>
        <v>15</v>
      </c>
      <c r="N79" t="str">
        <f t="shared" si="4"/>
        <v>Low</v>
      </c>
      <c r="O79">
        <f t="shared" si="5"/>
        <v>30</v>
      </c>
    </row>
    <row r="80" spans="1:15" x14ac:dyDescent="0.3">
      <c r="A80" t="s">
        <v>332</v>
      </c>
      <c r="B80" t="s">
        <v>333</v>
      </c>
      <c r="C80" t="s">
        <v>334</v>
      </c>
      <c r="D80" t="s">
        <v>335</v>
      </c>
      <c r="E80" t="s">
        <v>16</v>
      </c>
      <c r="F80">
        <v>28564</v>
      </c>
      <c r="G80" t="s">
        <v>79</v>
      </c>
      <c r="H80" t="s">
        <v>105</v>
      </c>
      <c r="I80" t="s">
        <v>19</v>
      </c>
      <c r="J80" t="s">
        <v>46</v>
      </c>
      <c r="K80" t="s">
        <v>29</v>
      </c>
      <c r="L80" t="s">
        <v>22</v>
      </c>
      <c r="M80">
        <f t="shared" si="3"/>
        <v>3</v>
      </c>
      <c r="N80" t="str">
        <f t="shared" si="4"/>
        <v>High</v>
      </c>
      <c r="O80">
        <f t="shared" si="5"/>
        <v>115</v>
      </c>
    </row>
    <row r="81" spans="1:15" x14ac:dyDescent="0.3">
      <c r="A81" t="s">
        <v>336</v>
      </c>
      <c r="B81" t="s">
        <v>337</v>
      </c>
      <c r="C81" t="s">
        <v>338</v>
      </c>
      <c r="D81" t="s">
        <v>339</v>
      </c>
      <c r="E81" t="s">
        <v>16</v>
      </c>
      <c r="F81">
        <v>52530</v>
      </c>
      <c r="G81" t="s">
        <v>17</v>
      </c>
      <c r="H81" t="s">
        <v>27</v>
      </c>
      <c r="I81" t="s">
        <v>28</v>
      </c>
      <c r="J81" t="s">
        <v>46</v>
      </c>
      <c r="K81" t="s">
        <v>57</v>
      </c>
      <c r="L81" t="s">
        <v>22</v>
      </c>
      <c r="M81">
        <f t="shared" si="3"/>
        <v>0</v>
      </c>
      <c r="N81" t="str">
        <f t="shared" si="4"/>
        <v>High</v>
      </c>
      <c r="O81">
        <f t="shared" si="5"/>
        <v>115</v>
      </c>
    </row>
    <row r="82" spans="1:15" x14ac:dyDescent="0.3">
      <c r="A82" t="s">
        <v>340</v>
      </c>
      <c r="B82" t="s">
        <v>172</v>
      </c>
      <c r="C82" t="s">
        <v>341</v>
      </c>
      <c r="D82" t="s">
        <v>342</v>
      </c>
      <c r="E82" t="s">
        <v>16</v>
      </c>
      <c r="F82">
        <v>7075</v>
      </c>
      <c r="G82" t="s">
        <v>35</v>
      </c>
      <c r="H82" t="s">
        <v>18</v>
      </c>
      <c r="I82" t="s">
        <v>19</v>
      </c>
      <c r="J82" t="s">
        <v>95</v>
      </c>
      <c r="K82" t="s">
        <v>80</v>
      </c>
      <c r="L82" t="s">
        <v>38</v>
      </c>
      <c r="M82">
        <f t="shared" si="3"/>
        <v>15</v>
      </c>
      <c r="N82" t="str">
        <f t="shared" si="4"/>
        <v>Low</v>
      </c>
      <c r="O82">
        <f t="shared" si="5"/>
        <v>40</v>
      </c>
    </row>
    <row r="83" spans="1:15" x14ac:dyDescent="0.3">
      <c r="A83" t="s">
        <v>343</v>
      </c>
      <c r="B83" t="s">
        <v>344</v>
      </c>
      <c r="C83" t="s">
        <v>345</v>
      </c>
      <c r="D83" t="s">
        <v>331</v>
      </c>
      <c r="E83" t="s">
        <v>78</v>
      </c>
      <c r="F83">
        <v>2623</v>
      </c>
      <c r="G83" t="s">
        <v>17</v>
      </c>
      <c r="H83" t="s">
        <v>113</v>
      </c>
      <c r="I83" t="s">
        <v>19</v>
      </c>
      <c r="J83" t="s">
        <v>95</v>
      </c>
      <c r="K83" t="s">
        <v>57</v>
      </c>
      <c r="L83" t="s">
        <v>38</v>
      </c>
      <c r="M83">
        <f t="shared" si="3"/>
        <v>13</v>
      </c>
      <c r="N83" t="str">
        <f t="shared" si="4"/>
        <v>Low</v>
      </c>
      <c r="O83">
        <f t="shared" si="5"/>
        <v>10</v>
      </c>
    </row>
    <row r="84" spans="1:15" x14ac:dyDescent="0.3">
      <c r="A84" t="s">
        <v>346</v>
      </c>
      <c r="B84" t="s">
        <v>347</v>
      </c>
      <c r="C84" t="s">
        <v>348</v>
      </c>
      <c r="D84" t="s">
        <v>33</v>
      </c>
      <c r="E84" t="s">
        <v>78</v>
      </c>
      <c r="F84">
        <v>4821</v>
      </c>
      <c r="G84" t="s">
        <v>63</v>
      </c>
      <c r="H84" t="s">
        <v>52</v>
      </c>
      <c r="I84" t="s">
        <v>28</v>
      </c>
      <c r="J84" t="s">
        <v>46</v>
      </c>
      <c r="K84" t="s">
        <v>96</v>
      </c>
      <c r="L84" t="s">
        <v>38</v>
      </c>
      <c r="M84">
        <f t="shared" si="3"/>
        <v>7</v>
      </c>
      <c r="N84" t="str">
        <f t="shared" si="4"/>
        <v>Low</v>
      </c>
      <c r="O84">
        <f t="shared" si="5"/>
        <v>30</v>
      </c>
    </row>
    <row r="85" spans="1:15" x14ac:dyDescent="0.3">
      <c r="A85" t="s">
        <v>349</v>
      </c>
      <c r="B85" t="s">
        <v>350</v>
      </c>
      <c r="C85" t="s">
        <v>351</v>
      </c>
      <c r="D85" t="s">
        <v>67</v>
      </c>
      <c r="E85" t="s">
        <v>51</v>
      </c>
      <c r="F85">
        <v>12957</v>
      </c>
      <c r="G85" t="s">
        <v>35</v>
      </c>
      <c r="H85" t="s">
        <v>27</v>
      </c>
      <c r="I85" t="s">
        <v>19</v>
      </c>
      <c r="J85" t="s">
        <v>20</v>
      </c>
      <c r="K85" t="s">
        <v>37</v>
      </c>
      <c r="L85" t="s">
        <v>38</v>
      </c>
      <c r="M85">
        <f t="shared" si="3"/>
        <v>12</v>
      </c>
      <c r="N85" t="str">
        <f t="shared" si="4"/>
        <v>Low</v>
      </c>
      <c r="O85">
        <f t="shared" si="5"/>
        <v>10</v>
      </c>
    </row>
    <row r="86" spans="1:15" x14ac:dyDescent="0.3">
      <c r="A86" t="s">
        <v>352</v>
      </c>
      <c r="B86" t="s">
        <v>353</v>
      </c>
      <c r="C86" t="s">
        <v>354</v>
      </c>
      <c r="D86" t="s">
        <v>335</v>
      </c>
      <c r="E86" t="s">
        <v>16</v>
      </c>
      <c r="F86">
        <v>60319</v>
      </c>
      <c r="G86" t="s">
        <v>44</v>
      </c>
      <c r="H86" t="s">
        <v>18</v>
      </c>
      <c r="I86" t="s">
        <v>28</v>
      </c>
      <c r="J86" t="s">
        <v>46</v>
      </c>
      <c r="K86" t="s">
        <v>80</v>
      </c>
      <c r="L86" t="s">
        <v>22</v>
      </c>
      <c r="M86">
        <f t="shared" si="3"/>
        <v>23</v>
      </c>
      <c r="N86" t="str">
        <f t="shared" si="4"/>
        <v>High</v>
      </c>
      <c r="O86">
        <f t="shared" si="5"/>
        <v>100</v>
      </c>
    </row>
    <row r="87" spans="1:15" x14ac:dyDescent="0.3">
      <c r="A87" t="s">
        <v>355</v>
      </c>
      <c r="B87" t="s">
        <v>356</v>
      </c>
      <c r="C87" t="s">
        <v>357</v>
      </c>
      <c r="D87" t="s">
        <v>358</v>
      </c>
      <c r="E87" t="s">
        <v>16</v>
      </c>
      <c r="F87">
        <v>4510</v>
      </c>
      <c r="G87" t="s">
        <v>63</v>
      </c>
      <c r="H87" t="s">
        <v>18</v>
      </c>
      <c r="I87" t="s">
        <v>19</v>
      </c>
      <c r="J87" t="s">
        <v>46</v>
      </c>
      <c r="K87" t="s">
        <v>57</v>
      </c>
      <c r="L87" t="s">
        <v>38</v>
      </c>
      <c r="M87">
        <f t="shared" si="3"/>
        <v>22</v>
      </c>
      <c r="N87" t="str">
        <f t="shared" si="4"/>
        <v>Low</v>
      </c>
      <c r="O87">
        <f t="shared" si="5"/>
        <v>60</v>
      </c>
    </row>
    <row r="88" spans="1:15" x14ac:dyDescent="0.3">
      <c r="A88" t="s">
        <v>359</v>
      </c>
      <c r="B88" t="s">
        <v>360</v>
      </c>
      <c r="C88" t="s">
        <v>361</v>
      </c>
      <c r="D88" t="s">
        <v>276</v>
      </c>
      <c r="E88" t="s">
        <v>78</v>
      </c>
      <c r="F88">
        <v>473</v>
      </c>
      <c r="G88" t="s">
        <v>68</v>
      </c>
      <c r="H88" t="s">
        <v>105</v>
      </c>
      <c r="I88" t="s">
        <v>28</v>
      </c>
      <c r="J88" t="s">
        <v>95</v>
      </c>
      <c r="K88" t="s">
        <v>21</v>
      </c>
      <c r="L88" t="s">
        <v>38</v>
      </c>
      <c r="M88">
        <f t="shared" si="3"/>
        <v>8</v>
      </c>
      <c r="N88" t="str">
        <f t="shared" si="4"/>
        <v>Low</v>
      </c>
      <c r="O88">
        <f t="shared" si="5"/>
        <v>10</v>
      </c>
    </row>
    <row r="89" spans="1:15" x14ac:dyDescent="0.3">
      <c r="A89" t="s">
        <v>362</v>
      </c>
      <c r="B89" t="s">
        <v>363</v>
      </c>
      <c r="C89" t="s">
        <v>364</v>
      </c>
      <c r="D89" t="s">
        <v>276</v>
      </c>
      <c r="E89" t="s">
        <v>62</v>
      </c>
      <c r="F89">
        <v>10724</v>
      </c>
      <c r="G89" t="s">
        <v>17</v>
      </c>
      <c r="H89" t="s">
        <v>36</v>
      </c>
      <c r="I89" t="s">
        <v>28</v>
      </c>
      <c r="J89" t="s">
        <v>20</v>
      </c>
      <c r="K89" t="s">
        <v>96</v>
      </c>
      <c r="L89" t="s">
        <v>38</v>
      </c>
      <c r="M89">
        <f t="shared" si="3"/>
        <v>20</v>
      </c>
      <c r="N89" t="str">
        <f t="shared" si="4"/>
        <v>Low</v>
      </c>
      <c r="O89">
        <f t="shared" si="5"/>
        <v>10</v>
      </c>
    </row>
    <row r="90" spans="1:15" x14ac:dyDescent="0.3">
      <c r="A90" t="s">
        <v>365</v>
      </c>
      <c r="B90" t="s">
        <v>366</v>
      </c>
      <c r="C90" t="s">
        <v>367</v>
      </c>
      <c r="D90" t="s">
        <v>368</v>
      </c>
      <c r="E90" t="s">
        <v>34</v>
      </c>
      <c r="F90">
        <v>5310</v>
      </c>
      <c r="G90" t="s">
        <v>63</v>
      </c>
      <c r="H90" t="s">
        <v>36</v>
      </c>
      <c r="I90" t="s">
        <v>28</v>
      </c>
      <c r="J90" t="s">
        <v>20</v>
      </c>
      <c r="K90" t="s">
        <v>37</v>
      </c>
      <c r="L90" t="s">
        <v>38</v>
      </c>
      <c r="M90">
        <f t="shared" si="3"/>
        <v>9</v>
      </c>
      <c r="N90" t="str">
        <f t="shared" si="4"/>
        <v>Low</v>
      </c>
      <c r="O90">
        <f t="shared" si="5"/>
        <v>10</v>
      </c>
    </row>
    <row r="91" spans="1:15" x14ac:dyDescent="0.3">
      <c r="A91" t="s">
        <v>369</v>
      </c>
      <c r="B91" t="s">
        <v>370</v>
      </c>
      <c r="C91" t="s">
        <v>271</v>
      </c>
      <c r="D91" t="s">
        <v>371</v>
      </c>
      <c r="E91" t="s">
        <v>51</v>
      </c>
      <c r="F91">
        <v>9062</v>
      </c>
      <c r="G91" t="s">
        <v>17</v>
      </c>
      <c r="H91" t="s">
        <v>52</v>
      </c>
      <c r="I91" t="s">
        <v>28</v>
      </c>
      <c r="J91" t="s">
        <v>20</v>
      </c>
      <c r="K91" t="s">
        <v>96</v>
      </c>
      <c r="L91" t="s">
        <v>38</v>
      </c>
      <c r="M91">
        <f t="shared" si="3"/>
        <v>7</v>
      </c>
      <c r="N91" t="str">
        <f t="shared" si="4"/>
        <v>Low</v>
      </c>
      <c r="O91">
        <f t="shared" si="5"/>
        <v>10</v>
      </c>
    </row>
    <row r="92" spans="1:15" x14ac:dyDescent="0.3">
      <c r="A92" t="s">
        <v>372</v>
      </c>
      <c r="B92" t="s">
        <v>373</v>
      </c>
      <c r="C92" t="s">
        <v>374</v>
      </c>
      <c r="D92" t="s">
        <v>375</v>
      </c>
      <c r="E92" t="s">
        <v>51</v>
      </c>
      <c r="F92">
        <v>68</v>
      </c>
      <c r="G92" t="s">
        <v>17</v>
      </c>
      <c r="H92" t="s">
        <v>45</v>
      </c>
      <c r="I92" t="s">
        <v>28</v>
      </c>
      <c r="J92" t="s">
        <v>20</v>
      </c>
      <c r="K92" t="s">
        <v>80</v>
      </c>
      <c r="L92" t="s">
        <v>38</v>
      </c>
      <c r="M92">
        <f t="shared" si="3"/>
        <v>20</v>
      </c>
      <c r="N92" t="str">
        <f t="shared" si="4"/>
        <v>Low</v>
      </c>
      <c r="O92">
        <f t="shared" si="5"/>
        <v>10</v>
      </c>
    </row>
    <row r="93" spans="1:15" x14ac:dyDescent="0.3">
      <c r="A93" t="s">
        <v>376</v>
      </c>
      <c r="B93" t="s">
        <v>377</v>
      </c>
      <c r="C93" t="s">
        <v>173</v>
      </c>
      <c r="D93" t="s">
        <v>378</v>
      </c>
      <c r="E93" t="s">
        <v>62</v>
      </c>
      <c r="F93">
        <v>9048</v>
      </c>
      <c r="G93" t="s">
        <v>63</v>
      </c>
      <c r="H93" t="s">
        <v>85</v>
      </c>
      <c r="I93" t="s">
        <v>19</v>
      </c>
      <c r="J93" t="s">
        <v>46</v>
      </c>
      <c r="K93" t="s">
        <v>96</v>
      </c>
      <c r="L93" t="s">
        <v>38</v>
      </c>
      <c r="M93">
        <f t="shared" si="3"/>
        <v>10</v>
      </c>
      <c r="N93" t="str">
        <f t="shared" si="4"/>
        <v>Low</v>
      </c>
      <c r="O93">
        <f t="shared" si="5"/>
        <v>30</v>
      </c>
    </row>
    <row r="94" spans="1:15" x14ac:dyDescent="0.3">
      <c r="A94" t="s">
        <v>379</v>
      </c>
      <c r="B94" t="s">
        <v>380</v>
      </c>
      <c r="C94" t="s">
        <v>381</v>
      </c>
      <c r="D94" t="s">
        <v>382</v>
      </c>
      <c r="E94" t="s">
        <v>62</v>
      </c>
      <c r="F94">
        <v>11679</v>
      </c>
      <c r="G94" t="s">
        <v>68</v>
      </c>
      <c r="H94" t="s">
        <v>36</v>
      </c>
      <c r="I94" t="s">
        <v>19</v>
      </c>
      <c r="J94" t="s">
        <v>95</v>
      </c>
      <c r="K94" t="s">
        <v>29</v>
      </c>
      <c r="L94" t="s">
        <v>38</v>
      </c>
      <c r="M94">
        <f t="shared" si="3"/>
        <v>11</v>
      </c>
      <c r="N94" t="str">
        <f t="shared" si="4"/>
        <v>Low</v>
      </c>
      <c r="O94">
        <f t="shared" si="5"/>
        <v>10</v>
      </c>
    </row>
    <row r="95" spans="1:15" x14ac:dyDescent="0.3">
      <c r="A95" t="s">
        <v>383</v>
      </c>
      <c r="B95" t="s">
        <v>303</v>
      </c>
      <c r="C95" t="s">
        <v>384</v>
      </c>
      <c r="D95" t="s">
        <v>385</v>
      </c>
      <c r="E95" t="s">
        <v>51</v>
      </c>
      <c r="F95">
        <v>10662</v>
      </c>
      <c r="G95" t="s">
        <v>17</v>
      </c>
      <c r="H95" t="s">
        <v>52</v>
      </c>
      <c r="I95" t="s">
        <v>28</v>
      </c>
      <c r="J95" t="s">
        <v>95</v>
      </c>
      <c r="K95" t="s">
        <v>69</v>
      </c>
      <c r="L95" t="s">
        <v>38</v>
      </c>
      <c r="M95">
        <f t="shared" si="3"/>
        <v>10</v>
      </c>
      <c r="N95" t="str">
        <f t="shared" si="4"/>
        <v>Low</v>
      </c>
      <c r="O95">
        <f t="shared" si="5"/>
        <v>10</v>
      </c>
    </row>
    <row r="96" spans="1:15" x14ac:dyDescent="0.3">
      <c r="A96" t="s">
        <v>386</v>
      </c>
      <c r="B96" t="s">
        <v>198</v>
      </c>
      <c r="C96" t="s">
        <v>387</v>
      </c>
      <c r="D96" t="s">
        <v>56</v>
      </c>
      <c r="E96" t="s">
        <v>51</v>
      </c>
      <c r="F96">
        <v>9081</v>
      </c>
      <c r="G96" t="s">
        <v>17</v>
      </c>
      <c r="H96" t="s">
        <v>113</v>
      </c>
      <c r="I96" t="s">
        <v>19</v>
      </c>
      <c r="J96" t="s">
        <v>20</v>
      </c>
      <c r="K96" t="s">
        <v>37</v>
      </c>
      <c r="L96" t="s">
        <v>38</v>
      </c>
      <c r="M96">
        <f t="shared" si="3"/>
        <v>10</v>
      </c>
      <c r="N96" t="str">
        <f t="shared" si="4"/>
        <v>Low</v>
      </c>
      <c r="O96">
        <f t="shared" si="5"/>
        <v>10</v>
      </c>
    </row>
    <row r="97" spans="1:15" x14ac:dyDescent="0.3">
      <c r="A97" t="s">
        <v>388</v>
      </c>
      <c r="B97" t="s">
        <v>389</v>
      </c>
      <c r="C97" t="s">
        <v>390</v>
      </c>
      <c r="D97" t="s">
        <v>391</v>
      </c>
      <c r="E97" t="s">
        <v>34</v>
      </c>
      <c r="F97">
        <v>8368</v>
      </c>
      <c r="G97" t="s">
        <v>35</v>
      </c>
      <c r="H97" t="s">
        <v>52</v>
      </c>
      <c r="I97" t="s">
        <v>28</v>
      </c>
      <c r="J97" t="s">
        <v>20</v>
      </c>
      <c r="K97" t="s">
        <v>69</v>
      </c>
      <c r="L97" t="s">
        <v>38</v>
      </c>
      <c r="M97">
        <f t="shared" si="3"/>
        <v>14</v>
      </c>
      <c r="N97" t="str">
        <f t="shared" si="4"/>
        <v>Low</v>
      </c>
      <c r="O97">
        <f t="shared" si="5"/>
        <v>10</v>
      </c>
    </row>
    <row r="98" spans="1:15" x14ac:dyDescent="0.3">
      <c r="A98" t="s">
        <v>392</v>
      </c>
      <c r="B98" t="s">
        <v>393</v>
      </c>
      <c r="C98" t="s">
        <v>394</v>
      </c>
      <c r="D98" t="s">
        <v>395</v>
      </c>
      <c r="E98" t="s">
        <v>16</v>
      </c>
      <c r="F98">
        <v>5704</v>
      </c>
      <c r="G98" t="s">
        <v>35</v>
      </c>
      <c r="H98" t="s">
        <v>85</v>
      </c>
      <c r="I98" t="s">
        <v>28</v>
      </c>
      <c r="J98" t="s">
        <v>95</v>
      </c>
      <c r="K98" t="s">
        <v>69</v>
      </c>
      <c r="L98" t="s">
        <v>38</v>
      </c>
      <c r="M98">
        <f t="shared" si="3"/>
        <v>16</v>
      </c>
      <c r="N98" t="str">
        <f t="shared" si="4"/>
        <v>Low</v>
      </c>
      <c r="O98">
        <f t="shared" si="5"/>
        <v>40</v>
      </c>
    </row>
    <row r="99" spans="1:15" x14ac:dyDescent="0.3">
      <c r="A99" t="s">
        <v>396</v>
      </c>
      <c r="B99" t="s">
        <v>397</v>
      </c>
      <c r="C99" t="s">
        <v>398</v>
      </c>
      <c r="D99" t="s">
        <v>399</v>
      </c>
      <c r="E99" t="s">
        <v>34</v>
      </c>
      <c r="F99">
        <v>6324</v>
      </c>
      <c r="G99" t="s">
        <v>17</v>
      </c>
      <c r="H99" t="s">
        <v>45</v>
      </c>
      <c r="I99" t="s">
        <v>28</v>
      </c>
      <c r="J99" t="s">
        <v>46</v>
      </c>
      <c r="K99" t="s">
        <v>80</v>
      </c>
      <c r="L99" t="s">
        <v>38</v>
      </c>
      <c r="M99">
        <f t="shared" si="3"/>
        <v>13</v>
      </c>
      <c r="N99" t="str">
        <f t="shared" si="4"/>
        <v>Low</v>
      </c>
      <c r="O99">
        <f t="shared" si="5"/>
        <v>30</v>
      </c>
    </row>
    <row r="100" spans="1:15" x14ac:dyDescent="0.3">
      <c r="A100" t="s">
        <v>400</v>
      </c>
      <c r="B100" t="s">
        <v>401</v>
      </c>
      <c r="C100" t="s">
        <v>402</v>
      </c>
      <c r="D100" t="s">
        <v>56</v>
      </c>
      <c r="E100" t="s">
        <v>51</v>
      </c>
      <c r="F100">
        <v>13032</v>
      </c>
      <c r="G100" t="s">
        <v>17</v>
      </c>
      <c r="H100" t="s">
        <v>45</v>
      </c>
      <c r="I100" t="s">
        <v>19</v>
      </c>
      <c r="J100" t="s">
        <v>20</v>
      </c>
      <c r="K100" t="s">
        <v>69</v>
      </c>
      <c r="L100" t="s">
        <v>38</v>
      </c>
      <c r="M100">
        <f t="shared" si="3"/>
        <v>10</v>
      </c>
      <c r="N100" t="str">
        <f t="shared" si="4"/>
        <v>Low</v>
      </c>
      <c r="O100">
        <f t="shared" si="5"/>
        <v>10</v>
      </c>
    </row>
    <row r="101" spans="1:15" x14ac:dyDescent="0.3">
      <c r="A101" t="s">
        <v>403</v>
      </c>
      <c r="B101" t="s">
        <v>404</v>
      </c>
      <c r="C101" t="s">
        <v>405</v>
      </c>
      <c r="D101" t="s">
        <v>406</v>
      </c>
      <c r="E101" t="s">
        <v>94</v>
      </c>
      <c r="F101">
        <v>7536</v>
      </c>
      <c r="G101" t="s">
        <v>44</v>
      </c>
      <c r="H101" t="s">
        <v>113</v>
      </c>
      <c r="I101" t="s">
        <v>19</v>
      </c>
      <c r="J101" t="s">
        <v>20</v>
      </c>
      <c r="K101" t="s">
        <v>57</v>
      </c>
      <c r="L101" t="s">
        <v>38</v>
      </c>
      <c r="M101">
        <f t="shared" si="3"/>
        <v>6</v>
      </c>
      <c r="N101" t="str">
        <f t="shared" si="4"/>
        <v>Low</v>
      </c>
      <c r="O101">
        <f t="shared" si="5"/>
        <v>10</v>
      </c>
    </row>
    <row r="102" spans="1:15" x14ac:dyDescent="0.3">
      <c r="A102" t="s">
        <v>407</v>
      </c>
      <c r="B102" t="s">
        <v>135</v>
      </c>
      <c r="C102" t="s">
        <v>408</v>
      </c>
      <c r="D102" t="s">
        <v>409</v>
      </c>
      <c r="E102" t="s">
        <v>34</v>
      </c>
      <c r="F102">
        <v>6562</v>
      </c>
      <c r="G102" t="s">
        <v>63</v>
      </c>
      <c r="H102" t="s">
        <v>36</v>
      </c>
      <c r="I102" t="s">
        <v>28</v>
      </c>
      <c r="J102" t="s">
        <v>46</v>
      </c>
      <c r="K102" t="s">
        <v>80</v>
      </c>
      <c r="L102" t="s">
        <v>38</v>
      </c>
      <c r="M102">
        <f t="shared" si="3"/>
        <v>8</v>
      </c>
      <c r="N102" t="str">
        <f t="shared" si="4"/>
        <v>Low</v>
      </c>
      <c r="O102">
        <f t="shared" si="5"/>
        <v>30</v>
      </c>
    </row>
    <row r="103" spans="1:15" x14ac:dyDescent="0.3">
      <c r="A103" t="s">
        <v>410</v>
      </c>
      <c r="B103" t="s">
        <v>411</v>
      </c>
      <c r="C103" t="s">
        <v>412</v>
      </c>
      <c r="D103" t="s">
        <v>154</v>
      </c>
      <c r="E103" t="s">
        <v>78</v>
      </c>
      <c r="F103">
        <v>638</v>
      </c>
      <c r="G103" t="s">
        <v>68</v>
      </c>
      <c r="H103" t="s">
        <v>52</v>
      </c>
      <c r="I103" t="s">
        <v>19</v>
      </c>
      <c r="J103" t="s">
        <v>95</v>
      </c>
      <c r="K103" t="s">
        <v>80</v>
      </c>
      <c r="L103" t="s">
        <v>38</v>
      </c>
      <c r="M103">
        <f t="shared" si="3"/>
        <v>8</v>
      </c>
      <c r="N103" t="str">
        <f t="shared" si="4"/>
        <v>Low</v>
      </c>
      <c r="O103">
        <f t="shared" si="5"/>
        <v>10</v>
      </c>
    </row>
    <row r="104" spans="1:15" x14ac:dyDescent="0.3">
      <c r="A104" t="s">
        <v>413</v>
      </c>
      <c r="B104" t="s">
        <v>98</v>
      </c>
      <c r="C104" t="s">
        <v>414</v>
      </c>
      <c r="D104" t="s">
        <v>276</v>
      </c>
      <c r="E104" t="s">
        <v>51</v>
      </c>
      <c r="F104">
        <v>12507</v>
      </c>
      <c r="G104" t="s">
        <v>44</v>
      </c>
      <c r="H104" t="s">
        <v>52</v>
      </c>
      <c r="I104" t="s">
        <v>19</v>
      </c>
      <c r="J104" t="s">
        <v>20</v>
      </c>
      <c r="K104" t="s">
        <v>96</v>
      </c>
      <c r="L104" t="s">
        <v>38</v>
      </c>
      <c r="M104">
        <f t="shared" si="3"/>
        <v>9</v>
      </c>
      <c r="N104" t="str">
        <f t="shared" si="4"/>
        <v>Low</v>
      </c>
      <c r="O104">
        <f t="shared" si="5"/>
        <v>10</v>
      </c>
    </row>
    <row r="105" spans="1:15" x14ac:dyDescent="0.3">
      <c r="A105" t="s">
        <v>415</v>
      </c>
      <c r="B105" t="s">
        <v>416</v>
      </c>
      <c r="C105" t="s">
        <v>417</v>
      </c>
      <c r="D105" t="s">
        <v>418</v>
      </c>
      <c r="E105" t="s">
        <v>78</v>
      </c>
      <c r="F105">
        <v>6191</v>
      </c>
      <c r="G105" t="s">
        <v>35</v>
      </c>
      <c r="H105" t="s">
        <v>36</v>
      </c>
      <c r="I105" t="s">
        <v>19</v>
      </c>
      <c r="J105" t="s">
        <v>20</v>
      </c>
      <c r="K105" t="s">
        <v>29</v>
      </c>
      <c r="L105" t="s">
        <v>38</v>
      </c>
      <c r="M105">
        <f t="shared" si="3"/>
        <v>19</v>
      </c>
      <c r="N105" t="str">
        <f t="shared" si="4"/>
        <v>Low</v>
      </c>
      <c r="O105">
        <f t="shared" si="5"/>
        <v>10</v>
      </c>
    </row>
    <row r="106" spans="1:15" x14ac:dyDescent="0.3">
      <c r="A106" t="s">
        <v>419</v>
      </c>
      <c r="B106" t="s">
        <v>420</v>
      </c>
      <c r="C106" t="s">
        <v>421</v>
      </c>
      <c r="D106" t="s">
        <v>149</v>
      </c>
      <c r="E106" t="s">
        <v>51</v>
      </c>
      <c r="F106">
        <v>6317</v>
      </c>
      <c r="G106" t="s">
        <v>44</v>
      </c>
      <c r="H106" t="s">
        <v>27</v>
      </c>
      <c r="I106" t="s">
        <v>28</v>
      </c>
      <c r="J106" t="s">
        <v>95</v>
      </c>
      <c r="K106" t="s">
        <v>80</v>
      </c>
      <c r="L106" t="s">
        <v>38</v>
      </c>
      <c r="M106">
        <f t="shared" si="3"/>
        <v>13</v>
      </c>
      <c r="N106" t="str">
        <f t="shared" si="4"/>
        <v>Low</v>
      </c>
      <c r="O106">
        <f t="shared" si="5"/>
        <v>10</v>
      </c>
    </row>
    <row r="107" spans="1:15" x14ac:dyDescent="0.3">
      <c r="A107" t="s">
        <v>422</v>
      </c>
      <c r="B107" t="s">
        <v>423</v>
      </c>
      <c r="C107" t="s">
        <v>424</v>
      </c>
      <c r="D107" t="s">
        <v>358</v>
      </c>
      <c r="E107" t="s">
        <v>62</v>
      </c>
      <c r="F107">
        <v>203</v>
      </c>
      <c r="G107" t="s">
        <v>44</v>
      </c>
      <c r="H107" t="s">
        <v>113</v>
      </c>
      <c r="I107" t="s">
        <v>19</v>
      </c>
      <c r="J107" t="s">
        <v>95</v>
      </c>
      <c r="K107" t="s">
        <v>57</v>
      </c>
      <c r="L107" t="s">
        <v>38</v>
      </c>
      <c r="M107">
        <f t="shared" si="3"/>
        <v>20</v>
      </c>
      <c r="N107" t="str">
        <f t="shared" si="4"/>
        <v>Low</v>
      </c>
      <c r="O107">
        <f t="shared" si="5"/>
        <v>10</v>
      </c>
    </row>
    <row r="108" spans="1:15" x14ac:dyDescent="0.3">
      <c r="A108" t="s">
        <v>425</v>
      </c>
      <c r="B108" t="s">
        <v>31</v>
      </c>
      <c r="C108" t="s">
        <v>426</v>
      </c>
      <c r="D108" t="s">
        <v>427</v>
      </c>
      <c r="E108" t="s">
        <v>51</v>
      </c>
      <c r="F108">
        <v>7001</v>
      </c>
      <c r="G108" t="s">
        <v>35</v>
      </c>
      <c r="H108" t="s">
        <v>36</v>
      </c>
      <c r="I108" t="s">
        <v>28</v>
      </c>
      <c r="J108" t="s">
        <v>46</v>
      </c>
      <c r="K108" t="s">
        <v>96</v>
      </c>
      <c r="L108" t="s">
        <v>38</v>
      </c>
      <c r="M108">
        <f t="shared" si="3"/>
        <v>14</v>
      </c>
      <c r="N108" t="str">
        <f t="shared" si="4"/>
        <v>Low</v>
      </c>
      <c r="O108">
        <f t="shared" si="5"/>
        <v>30</v>
      </c>
    </row>
    <row r="109" spans="1:15" x14ac:dyDescent="0.3">
      <c r="A109" t="s">
        <v>428</v>
      </c>
      <c r="B109" t="s">
        <v>274</v>
      </c>
      <c r="C109" t="s">
        <v>287</v>
      </c>
      <c r="D109" t="s">
        <v>429</v>
      </c>
      <c r="E109" t="s">
        <v>94</v>
      </c>
      <c r="F109">
        <v>9467</v>
      </c>
      <c r="G109" t="s">
        <v>79</v>
      </c>
      <c r="H109" t="s">
        <v>36</v>
      </c>
      <c r="I109" t="s">
        <v>28</v>
      </c>
      <c r="J109" t="s">
        <v>46</v>
      </c>
      <c r="K109" t="s">
        <v>96</v>
      </c>
      <c r="L109" t="s">
        <v>38</v>
      </c>
      <c r="M109">
        <f t="shared" si="3"/>
        <v>15</v>
      </c>
      <c r="N109" t="str">
        <f t="shared" si="4"/>
        <v>Low</v>
      </c>
      <c r="O109">
        <f t="shared" si="5"/>
        <v>30</v>
      </c>
    </row>
    <row r="110" spans="1:15" x14ac:dyDescent="0.3">
      <c r="A110" t="s">
        <v>430</v>
      </c>
      <c r="B110" t="s">
        <v>213</v>
      </c>
      <c r="C110" t="s">
        <v>431</v>
      </c>
      <c r="D110" t="s">
        <v>121</v>
      </c>
      <c r="E110" t="s">
        <v>34</v>
      </c>
      <c r="F110">
        <v>853</v>
      </c>
      <c r="G110" t="s">
        <v>63</v>
      </c>
      <c r="H110" t="s">
        <v>27</v>
      </c>
      <c r="I110" t="s">
        <v>28</v>
      </c>
      <c r="J110" t="s">
        <v>46</v>
      </c>
      <c r="K110" t="s">
        <v>29</v>
      </c>
      <c r="L110" t="s">
        <v>38</v>
      </c>
      <c r="M110">
        <f t="shared" si="3"/>
        <v>21</v>
      </c>
      <c r="N110" t="str">
        <f t="shared" si="4"/>
        <v>Low</v>
      </c>
      <c r="O110">
        <f t="shared" si="5"/>
        <v>30</v>
      </c>
    </row>
    <row r="111" spans="1:15" x14ac:dyDescent="0.3">
      <c r="A111" t="s">
        <v>432</v>
      </c>
      <c r="B111" t="s">
        <v>433</v>
      </c>
      <c r="C111" t="s">
        <v>434</v>
      </c>
      <c r="D111" t="s">
        <v>391</v>
      </c>
      <c r="E111" t="s">
        <v>94</v>
      </c>
      <c r="F111">
        <v>11154</v>
      </c>
      <c r="G111" t="s">
        <v>17</v>
      </c>
      <c r="H111" t="s">
        <v>105</v>
      </c>
      <c r="I111" t="s">
        <v>28</v>
      </c>
      <c r="J111" t="s">
        <v>20</v>
      </c>
      <c r="K111" t="s">
        <v>69</v>
      </c>
      <c r="L111" t="s">
        <v>38</v>
      </c>
      <c r="M111">
        <f t="shared" si="3"/>
        <v>10</v>
      </c>
      <c r="N111" t="str">
        <f t="shared" si="4"/>
        <v>Low</v>
      </c>
      <c r="O111">
        <f t="shared" si="5"/>
        <v>10</v>
      </c>
    </row>
    <row r="112" spans="1:15" x14ac:dyDescent="0.3">
      <c r="A112" t="s">
        <v>435</v>
      </c>
      <c r="B112" t="s">
        <v>24</v>
      </c>
      <c r="C112" t="s">
        <v>436</v>
      </c>
      <c r="D112" t="s">
        <v>437</v>
      </c>
      <c r="E112" t="s">
        <v>43</v>
      </c>
      <c r="F112">
        <v>12048</v>
      </c>
      <c r="G112" t="s">
        <v>35</v>
      </c>
      <c r="H112" t="s">
        <v>36</v>
      </c>
      <c r="I112" t="s">
        <v>19</v>
      </c>
      <c r="J112" t="s">
        <v>46</v>
      </c>
      <c r="K112" t="s">
        <v>29</v>
      </c>
      <c r="L112" t="s">
        <v>38</v>
      </c>
      <c r="M112">
        <f t="shared" si="3"/>
        <v>10</v>
      </c>
      <c r="N112" t="str">
        <f t="shared" si="4"/>
        <v>Low</v>
      </c>
      <c r="O112">
        <f t="shared" si="5"/>
        <v>30</v>
      </c>
    </row>
    <row r="113" spans="1:15" x14ac:dyDescent="0.3">
      <c r="A113" t="s">
        <v>438</v>
      </c>
      <c r="B113" t="s">
        <v>439</v>
      </c>
      <c r="C113" t="s">
        <v>440</v>
      </c>
      <c r="D113" t="s">
        <v>441</v>
      </c>
      <c r="E113" t="s">
        <v>16</v>
      </c>
      <c r="F113">
        <v>6044</v>
      </c>
      <c r="G113" t="s">
        <v>17</v>
      </c>
      <c r="H113" t="s">
        <v>113</v>
      </c>
      <c r="I113" t="s">
        <v>28</v>
      </c>
      <c r="J113" t="s">
        <v>46</v>
      </c>
      <c r="K113" t="s">
        <v>69</v>
      </c>
      <c r="L113" t="s">
        <v>38</v>
      </c>
      <c r="M113">
        <f t="shared" si="3"/>
        <v>22</v>
      </c>
      <c r="N113" t="str">
        <f t="shared" si="4"/>
        <v>Low</v>
      </c>
      <c r="O113">
        <f t="shared" si="5"/>
        <v>60</v>
      </c>
    </row>
    <row r="114" spans="1:15" x14ac:dyDescent="0.3">
      <c r="A114" t="s">
        <v>442</v>
      </c>
      <c r="B114" t="s">
        <v>443</v>
      </c>
      <c r="C114" t="s">
        <v>444</v>
      </c>
      <c r="D114" t="s">
        <v>222</v>
      </c>
      <c r="E114" t="s">
        <v>51</v>
      </c>
      <c r="F114">
        <v>5599</v>
      </c>
      <c r="G114" t="s">
        <v>79</v>
      </c>
      <c r="H114" t="s">
        <v>27</v>
      </c>
      <c r="I114" t="s">
        <v>28</v>
      </c>
      <c r="J114" t="s">
        <v>20</v>
      </c>
      <c r="K114" t="s">
        <v>69</v>
      </c>
      <c r="L114" t="s">
        <v>38</v>
      </c>
      <c r="M114">
        <f t="shared" si="3"/>
        <v>9</v>
      </c>
      <c r="N114" t="str">
        <f t="shared" si="4"/>
        <v>Low</v>
      </c>
      <c r="O114">
        <f t="shared" si="5"/>
        <v>10</v>
      </c>
    </row>
    <row r="115" spans="1:15" x14ac:dyDescent="0.3">
      <c r="A115" t="s">
        <v>445</v>
      </c>
      <c r="B115" t="s">
        <v>446</v>
      </c>
      <c r="C115" t="s">
        <v>447</v>
      </c>
      <c r="D115" t="s">
        <v>182</v>
      </c>
      <c r="E115" t="s">
        <v>16</v>
      </c>
      <c r="F115">
        <v>71717</v>
      </c>
      <c r="G115" t="s">
        <v>63</v>
      </c>
      <c r="H115" t="s">
        <v>18</v>
      </c>
      <c r="I115" t="s">
        <v>28</v>
      </c>
      <c r="J115" t="s">
        <v>46</v>
      </c>
      <c r="K115" t="s">
        <v>37</v>
      </c>
      <c r="L115" t="s">
        <v>22</v>
      </c>
      <c r="M115">
        <f t="shared" si="3"/>
        <v>0</v>
      </c>
      <c r="N115" t="str">
        <f t="shared" si="4"/>
        <v>High</v>
      </c>
      <c r="O115">
        <f t="shared" si="5"/>
        <v>115</v>
      </c>
    </row>
    <row r="116" spans="1:15" x14ac:dyDescent="0.3">
      <c r="A116" t="s">
        <v>448</v>
      </c>
      <c r="B116" t="s">
        <v>230</v>
      </c>
      <c r="C116" t="s">
        <v>449</v>
      </c>
      <c r="D116" t="s">
        <v>450</v>
      </c>
      <c r="E116" t="s">
        <v>43</v>
      </c>
      <c r="F116">
        <v>6292</v>
      </c>
      <c r="G116" t="s">
        <v>79</v>
      </c>
      <c r="H116" t="s">
        <v>85</v>
      </c>
      <c r="I116" t="s">
        <v>19</v>
      </c>
      <c r="J116" t="s">
        <v>95</v>
      </c>
      <c r="K116" t="s">
        <v>21</v>
      </c>
      <c r="L116" t="s">
        <v>38</v>
      </c>
      <c r="M116">
        <f t="shared" si="3"/>
        <v>17</v>
      </c>
      <c r="N116" t="str">
        <f t="shared" si="4"/>
        <v>Low</v>
      </c>
      <c r="O116">
        <f t="shared" si="5"/>
        <v>10</v>
      </c>
    </row>
    <row r="117" spans="1:15" x14ac:dyDescent="0.3">
      <c r="A117" t="s">
        <v>451</v>
      </c>
      <c r="B117" t="s">
        <v>452</v>
      </c>
      <c r="C117" t="s">
        <v>453</v>
      </c>
      <c r="D117" t="s">
        <v>454</v>
      </c>
      <c r="E117" t="s">
        <v>94</v>
      </c>
      <c r="F117">
        <v>3676</v>
      </c>
      <c r="G117" t="s">
        <v>35</v>
      </c>
      <c r="H117" t="s">
        <v>52</v>
      </c>
      <c r="I117" t="s">
        <v>28</v>
      </c>
      <c r="J117" t="s">
        <v>46</v>
      </c>
      <c r="K117" t="s">
        <v>96</v>
      </c>
      <c r="L117" t="s">
        <v>38</v>
      </c>
      <c r="M117">
        <f t="shared" si="3"/>
        <v>8</v>
      </c>
      <c r="N117" t="str">
        <f t="shared" si="4"/>
        <v>Low</v>
      </c>
      <c r="O117">
        <f t="shared" si="5"/>
        <v>30</v>
      </c>
    </row>
    <row r="118" spans="1:15" x14ac:dyDescent="0.3">
      <c r="A118" t="s">
        <v>455</v>
      </c>
      <c r="B118" t="s">
        <v>48</v>
      </c>
      <c r="C118" t="s">
        <v>456</v>
      </c>
      <c r="D118" t="s">
        <v>457</v>
      </c>
      <c r="E118" t="s">
        <v>43</v>
      </c>
      <c r="F118">
        <v>5036</v>
      </c>
      <c r="G118" t="s">
        <v>44</v>
      </c>
      <c r="H118" t="s">
        <v>113</v>
      </c>
      <c r="I118" t="s">
        <v>28</v>
      </c>
      <c r="J118" t="s">
        <v>20</v>
      </c>
      <c r="K118" t="s">
        <v>57</v>
      </c>
      <c r="L118" t="s">
        <v>38</v>
      </c>
      <c r="M118">
        <f t="shared" si="3"/>
        <v>21</v>
      </c>
      <c r="N118" t="str">
        <f t="shared" si="4"/>
        <v>Low</v>
      </c>
      <c r="O118">
        <f t="shared" si="5"/>
        <v>10</v>
      </c>
    </row>
    <row r="119" spans="1:15" x14ac:dyDescent="0.3">
      <c r="A119" t="s">
        <v>458</v>
      </c>
      <c r="B119" t="s">
        <v>459</v>
      </c>
      <c r="C119" t="s">
        <v>460</v>
      </c>
      <c r="D119" t="s">
        <v>461</v>
      </c>
      <c r="E119" t="s">
        <v>16</v>
      </c>
      <c r="F119">
        <v>11461</v>
      </c>
      <c r="G119" t="s">
        <v>68</v>
      </c>
      <c r="H119" t="s">
        <v>113</v>
      </c>
      <c r="I119" t="s">
        <v>28</v>
      </c>
      <c r="J119" t="s">
        <v>95</v>
      </c>
      <c r="K119" t="s">
        <v>80</v>
      </c>
      <c r="L119" t="s">
        <v>38</v>
      </c>
      <c r="M119">
        <f t="shared" si="3"/>
        <v>19</v>
      </c>
      <c r="N119" t="str">
        <f t="shared" si="4"/>
        <v>Low</v>
      </c>
      <c r="O119">
        <f t="shared" si="5"/>
        <v>40</v>
      </c>
    </row>
    <row r="120" spans="1:15" x14ac:dyDescent="0.3">
      <c r="A120" t="s">
        <v>462</v>
      </c>
      <c r="B120" t="s">
        <v>463</v>
      </c>
      <c r="C120" t="s">
        <v>464</v>
      </c>
      <c r="D120" t="s">
        <v>457</v>
      </c>
      <c r="E120" t="s">
        <v>94</v>
      </c>
      <c r="F120">
        <v>4633</v>
      </c>
      <c r="G120" t="s">
        <v>44</v>
      </c>
      <c r="H120" t="s">
        <v>85</v>
      </c>
      <c r="I120" t="s">
        <v>28</v>
      </c>
      <c r="J120" t="s">
        <v>46</v>
      </c>
      <c r="K120" t="s">
        <v>29</v>
      </c>
      <c r="L120" t="s">
        <v>38</v>
      </c>
      <c r="M120">
        <f t="shared" si="3"/>
        <v>7</v>
      </c>
      <c r="N120" t="str">
        <f t="shared" si="4"/>
        <v>Low</v>
      </c>
      <c r="O120">
        <f t="shared" si="5"/>
        <v>30</v>
      </c>
    </row>
    <row r="121" spans="1:15" x14ac:dyDescent="0.3">
      <c r="A121" t="s">
        <v>465</v>
      </c>
      <c r="B121" t="s">
        <v>404</v>
      </c>
      <c r="C121" t="s">
        <v>466</v>
      </c>
      <c r="D121" t="s">
        <v>467</v>
      </c>
      <c r="E121" t="s">
        <v>43</v>
      </c>
      <c r="F121">
        <v>6068</v>
      </c>
      <c r="G121" t="s">
        <v>17</v>
      </c>
      <c r="H121" t="s">
        <v>27</v>
      </c>
      <c r="I121" t="s">
        <v>19</v>
      </c>
      <c r="J121" t="s">
        <v>46</v>
      </c>
      <c r="K121" t="s">
        <v>69</v>
      </c>
      <c r="L121" t="s">
        <v>38</v>
      </c>
      <c r="M121">
        <f t="shared" si="3"/>
        <v>17</v>
      </c>
      <c r="N121" t="str">
        <f t="shared" si="4"/>
        <v>Low</v>
      </c>
      <c r="O121">
        <f t="shared" si="5"/>
        <v>30</v>
      </c>
    </row>
    <row r="122" spans="1:15" x14ac:dyDescent="0.3">
      <c r="A122" t="s">
        <v>468</v>
      </c>
      <c r="B122" t="s">
        <v>180</v>
      </c>
      <c r="C122" t="s">
        <v>469</v>
      </c>
      <c r="D122" t="s">
        <v>470</v>
      </c>
      <c r="E122" t="s">
        <v>43</v>
      </c>
      <c r="F122">
        <v>10563</v>
      </c>
      <c r="G122" t="s">
        <v>79</v>
      </c>
      <c r="H122" t="s">
        <v>113</v>
      </c>
      <c r="I122" t="s">
        <v>19</v>
      </c>
      <c r="J122" t="s">
        <v>46</v>
      </c>
      <c r="K122" t="s">
        <v>96</v>
      </c>
      <c r="L122" t="s">
        <v>38</v>
      </c>
      <c r="M122">
        <f t="shared" si="3"/>
        <v>6</v>
      </c>
      <c r="N122" t="str">
        <f t="shared" si="4"/>
        <v>Low</v>
      </c>
      <c r="O122">
        <f t="shared" si="5"/>
        <v>30</v>
      </c>
    </row>
    <row r="123" spans="1:15" x14ac:dyDescent="0.3">
      <c r="A123" t="s">
        <v>471</v>
      </c>
      <c r="B123" t="s">
        <v>224</v>
      </c>
      <c r="C123" t="s">
        <v>472</v>
      </c>
      <c r="D123" t="s">
        <v>56</v>
      </c>
      <c r="E123" t="s">
        <v>62</v>
      </c>
      <c r="F123">
        <v>13371</v>
      </c>
      <c r="G123" t="s">
        <v>35</v>
      </c>
      <c r="H123" t="s">
        <v>105</v>
      </c>
      <c r="I123" t="s">
        <v>28</v>
      </c>
      <c r="J123" t="s">
        <v>20</v>
      </c>
      <c r="K123" t="s">
        <v>69</v>
      </c>
      <c r="L123" t="s">
        <v>38</v>
      </c>
      <c r="M123">
        <f t="shared" si="3"/>
        <v>13</v>
      </c>
      <c r="N123" t="str">
        <f t="shared" si="4"/>
        <v>Low</v>
      </c>
      <c r="O123">
        <f t="shared" si="5"/>
        <v>10</v>
      </c>
    </row>
    <row r="124" spans="1:15" x14ac:dyDescent="0.3">
      <c r="A124" t="s">
        <v>473</v>
      </c>
      <c r="B124" t="s">
        <v>474</v>
      </c>
      <c r="C124" t="s">
        <v>475</v>
      </c>
      <c r="D124" t="s">
        <v>476</v>
      </c>
      <c r="E124" t="s">
        <v>43</v>
      </c>
      <c r="F124">
        <v>13132</v>
      </c>
      <c r="G124" t="s">
        <v>44</v>
      </c>
      <c r="H124" t="s">
        <v>105</v>
      </c>
      <c r="I124" t="s">
        <v>19</v>
      </c>
      <c r="J124" t="s">
        <v>95</v>
      </c>
      <c r="K124" t="s">
        <v>96</v>
      </c>
      <c r="L124" t="s">
        <v>38</v>
      </c>
      <c r="M124">
        <f t="shared" si="3"/>
        <v>11</v>
      </c>
      <c r="N124" t="str">
        <f t="shared" si="4"/>
        <v>Low</v>
      </c>
      <c r="O124">
        <f t="shared" si="5"/>
        <v>10</v>
      </c>
    </row>
    <row r="125" spans="1:15" x14ac:dyDescent="0.3">
      <c r="A125" t="s">
        <v>477</v>
      </c>
      <c r="B125" t="s">
        <v>478</v>
      </c>
      <c r="C125" t="s">
        <v>479</v>
      </c>
      <c r="D125" t="s">
        <v>215</v>
      </c>
      <c r="E125" t="s">
        <v>62</v>
      </c>
      <c r="F125">
        <v>308</v>
      </c>
      <c r="G125" t="s">
        <v>68</v>
      </c>
      <c r="H125" t="s">
        <v>36</v>
      </c>
      <c r="I125" t="s">
        <v>19</v>
      </c>
      <c r="J125" t="s">
        <v>20</v>
      </c>
      <c r="K125" t="s">
        <v>80</v>
      </c>
      <c r="L125" t="s">
        <v>38</v>
      </c>
      <c r="M125">
        <f t="shared" si="3"/>
        <v>11</v>
      </c>
      <c r="N125" t="str">
        <f t="shared" si="4"/>
        <v>Low</v>
      </c>
      <c r="O125">
        <f t="shared" si="5"/>
        <v>10</v>
      </c>
    </row>
    <row r="126" spans="1:15" x14ac:dyDescent="0.3">
      <c r="A126" t="s">
        <v>480</v>
      </c>
      <c r="B126" t="s">
        <v>282</v>
      </c>
      <c r="C126" t="s">
        <v>357</v>
      </c>
      <c r="D126" t="s">
        <v>481</v>
      </c>
      <c r="E126" t="s">
        <v>16</v>
      </c>
      <c r="F126">
        <v>5981</v>
      </c>
      <c r="G126" t="s">
        <v>63</v>
      </c>
      <c r="H126" t="s">
        <v>27</v>
      </c>
      <c r="I126" t="s">
        <v>19</v>
      </c>
      <c r="J126" t="s">
        <v>20</v>
      </c>
      <c r="K126" t="s">
        <v>80</v>
      </c>
      <c r="L126" t="s">
        <v>38</v>
      </c>
      <c r="M126">
        <f t="shared" si="3"/>
        <v>22</v>
      </c>
      <c r="N126" t="str">
        <f t="shared" si="4"/>
        <v>Low</v>
      </c>
      <c r="O126">
        <f t="shared" si="5"/>
        <v>40</v>
      </c>
    </row>
    <row r="127" spans="1:15" x14ac:dyDescent="0.3">
      <c r="A127" t="s">
        <v>482</v>
      </c>
      <c r="B127" t="s">
        <v>483</v>
      </c>
      <c r="C127" t="s">
        <v>484</v>
      </c>
      <c r="D127" t="s">
        <v>485</v>
      </c>
      <c r="E127" t="s">
        <v>43</v>
      </c>
      <c r="F127">
        <v>10590</v>
      </c>
      <c r="G127" t="s">
        <v>68</v>
      </c>
      <c r="H127" t="s">
        <v>36</v>
      </c>
      <c r="I127" t="s">
        <v>28</v>
      </c>
      <c r="J127" t="s">
        <v>46</v>
      </c>
      <c r="K127" t="s">
        <v>80</v>
      </c>
      <c r="L127" t="s">
        <v>38</v>
      </c>
      <c r="M127">
        <f t="shared" si="3"/>
        <v>6</v>
      </c>
      <c r="N127" t="str">
        <f t="shared" si="4"/>
        <v>Low</v>
      </c>
      <c r="O127">
        <f t="shared" si="5"/>
        <v>30</v>
      </c>
    </row>
    <row r="128" spans="1:15" x14ac:dyDescent="0.3">
      <c r="A128" t="s">
        <v>486</v>
      </c>
      <c r="B128" t="s">
        <v>463</v>
      </c>
      <c r="C128" t="s">
        <v>487</v>
      </c>
      <c r="D128" t="s">
        <v>488</v>
      </c>
      <c r="E128" t="s">
        <v>43</v>
      </c>
      <c r="F128">
        <v>7317</v>
      </c>
      <c r="G128" t="s">
        <v>44</v>
      </c>
      <c r="H128" t="s">
        <v>113</v>
      </c>
      <c r="I128" t="s">
        <v>19</v>
      </c>
      <c r="J128" t="s">
        <v>46</v>
      </c>
      <c r="K128" t="s">
        <v>29</v>
      </c>
      <c r="L128" t="s">
        <v>38</v>
      </c>
      <c r="M128">
        <f t="shared" si="3"/>
        <v>8</v>
      </c>
      <c r="N128" t="str">
        <f t="shared" si="4"/>
        <v>Low</v>
      </c>
      <c r="O128">
        <f t="shared" si="5"/>
        <v>30</v>
      </c>
    </row>
    <row r="129" spans="1:15" x14ac:dyDescent="0.3">
      <c r="A129" t="s">
        <v>489</v>
      </c>
      <c r="B129" t="s">
        <v>490</v>
      </c>
      <c r="C129" t="s">
        <v>491</v>
      </c>
      <c r="D129" t="s">
        <v>339</v>
      </c>
      <c r="E129" t="s">
        <v>51</v>
      </c>
      <c r="F129">
        <v>9034</v>
      </c>
      <c r="G129" t="s">
        <v>79</v>
      </c>
      <c r="H129" t="s">
        <v>52</v>
      </c>
      <c r="I129" t="s">
        <v>28</v>
      </c>
      <c r="J129" t="s">
        <v>95</v>
      </c>
      <c r="K129" t="s">
        <v>21</v>
      </c>
      <c r="L129" t="s">
        <v>38</v>
      </c>
      <c r="M129">
        <f t="shared" si="3"/>
        <v>16</v>
      </c>
      <c r="N129" t="str">
        <f t="shared" si="4"/>
        <v>Low</v>
      </c>
      <c r="O129">
        <f t="shared" si="5"/>
        <v>10</v>
      </c>
    </row>
    <row r="130" spans="1:15" x14ac:dyDescent="0.3">
      <c r="A130" t="s">
        <v>492</v>
      </c>
      <c r="B130" t="s">
        <v>493</v>
      </c>
      <c r="C130" t="s">
        <v>494</v>
      </c>
      <c r="D130" t="s">
        <v>495</v>
      </c>
      <c r="E130" t="s">
        <v>16</v>
      </c>
      <c r="F130">
        <v>34996</v>
      </c>
      <c r="G130" t="s">
        <v>44</v>
      </c>
      <c r="H130" t="s">
        <v>85</v>
      </c>
      <c r="I130" t="s">
        <v>19</v>
      </c>
      <c r="J130" t="s">
        <v>20</v>
      </c>
      <c r="K130" t="s">
        <v>57</v>
      </c>
      <c r="L130" t="s">
        <v>22</v>
      </c>
      <c r="M130">
        <f t="shared" ref="M130:M193" si="6">HOUR(C130)</f>
        <v>23</v>
      </c>
      <c r="N130" t="str">
        <f t="shared" ref="N130:N193" si="7">IF(L130="Yes","High","Low")</f>
        <v>High</v>
      </c>
      <c r="O130">
        <f t="shared" ref="O130:O193" si="8">IF(F130&gt;20000,50,10)+IF(J130="Failed",20,0)+IF(E130="Unknown",30,0)+IF(M130&lt;5,15,0)</f>
        <v>80</v>
      </c>
    </row>
    <row r="131" spans="1:15" x14ac:dyDescent="0.3">
      <c r="A131" t="s">
        <v>496</v>
      </c>
      <c r="B131" t="s">
        <v>59</v>
      </c>
      <c r="C131" t="s">
        <v>497</v>
      </c>
      <c r="D131" t="s">
        <v>141</v>
      </c>
      <c r="E131" t="s">
        <v>62</v>
      </c>
      <c r="F131">
        <v>12003</v>
      </c>
      <c r="G131" t="s">
        <v>63</v>
      </c>
      <c r="H131" t="s">
        <v>52</v>
      </c>
      <c r="I131" t="s">
        <v>28</v>
      </c>
      <c r="J131" t="s">
        <v>46</v>
      </c>
      <c r="K131" t="s">
        <v>29</v>
      </c>
      <c r="L131" t="s">
        <v>38</v>
      </c>
      <c r="M131">
        <f t="shared" si="6"/>
        <v>9</v>
      </c>
      <c r="N131" t="str">
        <f t="shared" si="7"/>
        <v>Low</v>
      </c>
      <c r="O131">
        <f t="shared" si="8"/>
        <v>30</v>
      </c>
    </row>
    <row r="132" spans="1:15" x14ac:dyDescent="0.3">
      <c r="A132" t="s">
        <v>498</v>
      </c>
      <c r="B132" t="s">
        <v>282</v>
      </c>
      <c r="C132" t="s">
        <v>499</v>
      </c>
      <c r="D132" t="s">
        <v>84</v>
      </c>
      <c r="E132" t="s">
        <v>16</v>
      </c>
      <c r="F132">
        <v>31188</v>
      </c>
      <c r="G132" t="s">
        <v>68</v>
      </c>
      <c r="H132" t="s">
        <v>45</v>
      </c>
      <c r="I132" t="s">
        <v>19</v>
      </c>
      <c r="J132" t="s">
        <v>46</v>
      </c>
      <c r="K132" t="s">
        <v>21</v>
      </c>
      <c r="L132" t="s">
        <v>22</v>
      </c>
      <c r="M132">
        <f t="shared" si="6"/>
        <v>0</v>
      </c>
      <c r="N132" t="str">
        <f t="shared" si="7"/>
        <v>High</v>
      </c>
      <c r="O132">
        <f t="shared" si="8"/>
        <v>115</v>
      </c>
    </row>
    <row r="133" spans="1:15" x14ac:dyDescent="0.3">
      <c r="A133" t="s">
        <v>500</v>
      </c>
      <c r="B133" t="s">
        <v>31</v>
      </c>
      <c r="C133" t="s">
        <v>501</v>
      </c>
      <c r="D133" t="s">
        <v>502</v>
      </c>
      <c r="E133" t="s">
        <v>94</v>
      </c>
      <c r="F133">
        <v>9252</v>
      </c>
      <c r="G133" t="s">
        <v>63</v>
      </c>
      <c r="H133" t="s">
        <v>45</v>
      </c>
      <c r="I133" t="s">
        <v>28</v>
      </c>
      <c r="J133" t="s">
        <v>20</v>
      </c>
      <c r="K133" t="s">
        <v>69</v>
      </c>
      <c r="L133" t="s">
        <v>38</v>
      </c>
      <c r="M133">
        <f t="shared" si="6"/>
        <v>16</v>
      </c>
      <c r="N133" t="str">
        <f t="shared" si="7"/>
        <v>Low</v>
      </c>
      <c r="O133">
        <f t="shared" si="8"/>
        <v>10</v>
      </c>
    </row>
    <row r="134" spans="1:15" x14ac:dyDescent="0.3">
      <c r="A134" t="s">
        <v>503</v>
      </c>
      <c r="B134" t="s">
        <v>377</v>
      </c>
      <c r="C134" t="s">
        <v>504</v>
      </c>
      <c r="D134" t="s">
        <v>505</v>
      </c>
      <c r="E134" t="s">
        <v>62</v>
      </c>
      <c r="F134">
        <v>9887</v>
      </c>
      <c r="G134" t="s">
        <v>17</v>
      </c>
      <c r="H134" t="s">
        <v>27</v>
      </c>
      <c r="I134" t="s">
        <v>19</v>
      </c>
      <c r="J134" t="s">
        <v>20</v>
      </c>
      <c r="K134" t="s">
        <v>80</v>
      </c>
      <c r="L134" t="s">
        <v>38</v>
      </c>
      <c r="M134">
        <f t="shared" si="6"/>
        <v>15</v>
      </c>
      <c r="N134" t="str">
        <f t="shared" si="7"/>
        <v>Low</v>
      </c>
      <c r="O134">
        <f t="shared" si="8"/>
        <v>10</v>
      </c>
    </row>
    <row r="135" spans="1:15" x14ac:dyDescent="0.3">
      <c r="A135" t="s">
        <v>506</v>
      </c>
      <c r="B135" t="s">
        <v>507</v>
      </c>
      <c r="C135" t="s">
        <v>508</v>
      </c>
      <c r="D135" t="s">
        <v>280</v>
      </c>
      <c r="E135" t="s">
        <v>43</v>
      </c>
      <c r="F135">
        <v>5786</v>
      </c>
      <c r="G135" t="s">
        <v>79</v>
      </c>
      <c r="H135" t="s">
        <v>27</v>
      </c>
      <c r="I135" t="s">
        <v>28</v>
      </c>
      <c r="J135" t="s">
        <v>46</v>
      </c>
      <c r="K135" t="s">
        <v>69</v>
      </c>
      <c r="L135" t="s">
        <v>38</v>
      </c>
      <c r="M135">
        <f t="shared" si="6"/>
        <v>17</v>
      </c>
      <c r="N135" t="str">
        <f t="shared" si="7"/>
        <v>Low</v>
      </c>
      <c r="O135">
        <f t="shared" si="8"/>
        <v>30</v>
      </c>
    </row>
    <row r="136" spans="1:15" x14ac:dyDescent="0.3">
      <c r="A136" t="s">
        <v>509</v>
      </c>
      <c r="B136" t="s">
        <v>490</v>
      </c>
      <c r="C136" t="s">
        <v>510</v>
      </c>
      <c r="D136" t="s">
        <v>511</v>
      </c>
      <c r="E136" t="s">
        <v>16</v>
      </c>
      <c r="F136">
        <v>10579</v>
      </c>
      <c r="G136" t="s">
        <v>44</v>
      </c>
      <c r="H136" t="s">
        <v>52</v>
      </c>
      <c r="I136" t="s">
        <v>19</v>
      </c>
      <c r="J136" t="s">
        <v>95</v>
      </c>
      <c r="K136" t="s">
        <v>29</v>
      </c>
      <c r="L136" t="s">
        <v>38</v>
      </c>
      <c r="M136">
        <f t="shared" si="6"/>
        <v>6</v>
      </c>
      <c r="N136" t="str">
        <f t="shared" si="7"/>
        <v>Low</v>
      </c>
      <c r="O136">
        <f t="shared" si="8"/>
        <v>40</v>
      </c>
    </row>
    <row r="137" spans="1:15" x14ac:dyDescent="0.3">
      <c r="A137" t="s">
        <v>512</v>
      </c>
      <c r="B137" t="s">
        <v>356</v>
      </c>
      <c r="C137" t="s">
        <v>513</v>
      </c>
      <c r="D137" t="s">
        <v>461</v>
      </c>
      <c r="E137" t="s">
        <v>43</v>
      </c>
      <c r="F137">
        <v>5617</v>
      </c>
      <c r="G137" t="s">
        <v>35</v>
      </c>
      <c r="H137" t="s">
        <v>113</v>
      </c>
      <c r="I137" t="s">
        <v>28</v>
      </c>
      <c r="J137" t="s">
        <v>20</v>
      </c>
      <c r="K137" t="s">
        <v>96</v>
      </c>
      <c r="L137" t="s">
        <v>38</v>
      </c>
      <c r="M137">
        <f t="shared" si="6"/>
        <v>17</v>
      </c>
      <c r="N137" t="str">
        <f t="shared" si="7"/>
        <v>Low</v>
      </c>
      <c r="O137">
        <f t="shared" si="8"/>
        <v>10</v>
      </c>
    </row>
    <row r="138" spans="1:15" x14ac:dyDescent="0.3">
      <c r="A138" t="s">
        <v>514</v>
      </c>
      <c r="B138" t="s">
        <v>515</v>
      </c>
      <c r="C138" t="s">
        <v>516</v>
      </c>
      <c r="D138" t="s">
        <v>517</v>
      </c>
      <c r="E138" t="s">
        <v>78</v>
      </c>
      <c r="F138">
        <v>1553</v>
      </c>
      <c r="G138" t="s">
        <v>44</v>
      </c>
      <c r="H138" t="s">
        <v>85</v>
      </c>
      <c r="I138" t="s">
        <v>28</v>
      </c>
      <c r="J138" t="s">
        <v>46</v>
      </c>
      <c r="K138" t="s">
        <v>29</v>
      </c>
      <c r="L138" t="s">
        <v>38</v>
      </c>
      <c r="M138">
        <f t="shared" si="6"/>
        <v>22</v>
      </c>
      <c r="N138" t="str">
        <f t="shared" si="7"/>
        <v>Low</v>
      </c>
      <c r="O138">
        <f t="shared" si="8"/>
        <v>30</v>
      </c>
    </row>
    <row r="139" spans="1:15" x14ac:dyDescent="0.3">
      <c r="A139" t="s">
        <v>518</v>
      </c>
      <c r="B139" t="s">
        <v>519</v>
      </c>
      <c r="C139" t="s">
        <v>520</v>
      </c>
      <c r="D139" t="s">
        <v>418</v>
      </c>
      <c r="E139" t="s">
        <v>43</v>
      </c>
      <c r="F139">
        <v>12777</v>
      </c>
      <c r="G139" t="s">
        <v>17</v>
      </c>
      <c r="H139" t="s">
        <v>105</v>
      </c>
      <c r="I139" t="s">
        <v>19</v>
      </c>
      <c r="J139" t="s">
        <v>20</v>
      </c>
      <c r="K139" t="s">
        <v>37</v>
      </c>
      <c r="L139" t="s">
        <v>38</v>
      </c>
      <c r="M139">
        <f t="shared" si="6"/>
        <v>8</v>
      </c>
      <c r="N139" t="str">
        <f t="shared" si="7"/>
        <v>Low</v>
      </c>
      <c r="O139">
        <f t="shared" si="8"/>
        <v>10</v>
      </c>
    </row>
    <row r="140" spans="1:15" x14ac:dyDescent="0.3">
      <c r="A140" t="s">
        <v>521</v>
      </c>
      <c r="B140" t="s">
        <v>522</v>
      </c>
      <c r="C140" t="s">
        <v>523</v>
      </c>
      <c r="D140" t="s">
        <v>524</v>
      </c>
      <c r="E140" t="s">
        <v>51</v>
      </c>
      <c r="F140">
        <v>9996</v>
      </c>
      <c r="G140" t="s">
        <v>68</v>
      </c>
      <c r="H140" t="s">
        <v>18</v>
      </c>
      <c r="I140" t="s">
        <v>28</v>
      </c>
      <c r="J140" t="s">
        <v>46</v>
      </c>
      <c r="K140" t="s">
        <v>57</v>
      </c>
      <c r="L140" t="s">
        <v>38</v>
      </c>
      <c r="M140">
        <f t="shared" si="6"/>
        <v>20</v>
      </c>
      <c r="N140" t="str">
        <f t="shared" si="7"/>
        <v>Low</v>
      </c>
      <c r="O140">
        <f t="shared" si="8"/>
        <v>30</v>
      </c>
    </row>
    <row r="141" spans="1:15" x14ac:dyDescent="0.3">
      <c r="A141" t="s">
        <v>525</v>
      </c>
      <c r="B141" t="s">
        <v>526</v>
      </c>
      <c r="C141" t="s">
        <v>527</v>
      </c>
      <c r="D141" t="s">
        <v>528</v>
      </c>
      <c r="E141" t="s">
        <v>16</v>
      </c>
      <c r="F141">
        <v>9767</v>
      </c>
      <c r="G141" t="s">
        <v>79</v>
      </c>
      <c r="H141" t="s">
        <v>105</v>
      </c>
      <c r="I141" t="s">
        <v>19</v>
      </c>
      <c r="J141" t="s">
        <v>95</v>
      </c>
      <c r="K141" t="s">
        <v>57</v>
      </c>
      <c r="L141" t="s">
        <v>38</v>
      </c>
      <c r="M141">
        <f t="shared" si="6"/>
        <v>21</v>
      </c>
      <c r="N141" t="str">
        <f t="shared" si="7"/>
        <v>Low</v>
      </c>
      <c r="O141">
        <f t="shared" si="8"/>
        <v>40</v>
      </c>
    </row>
    <row r="142" spans="1:15" x14ac:dyDescent="0.3">
      <c r="A142" t="s">
        <v>529</v>
      </c>
      <c r="B142" t="s">
        <v>416</v>
      </c>
      <c r="C142" t="s">
        <v>530</v>
      </c>
      <c r="D142" t="s">
        <v>33</v>
      </c>
      <c r="E142" t="s">
        <v>16</v>
      </c>
      <c r="F142">
        <v>59507</v>
      </c>
      <c r="G142" t="s">
        <v>68</v>
      </c>
      <c r="H142" t="s">
        <v>52</v>
      </c>
      <c r="I142" t="s">
        <v>28</v>
      </c>
      <c r="J142" t="s">
        <v>20</v>
      </c>
      <c r="K142" t="s">
        <v>37</v>
      </c>
      <c r="L142" t="s">
        <v>22</v>
      </c>
      <c r="M142">
        <f t="shared" si="6"/>
        <v>1</v>
      </c>
      <c r="N142" t="str">
        <f t="shared" si="7"/>
        <v>High</v>
      </c>
      <c r="O142">
        <f t="shared" si="8"/>
        <v>95</v>
      </c>
    </row>
    <row r="143" spans="1:15" x14ac:dyDescent="0.3">
      <c r="A143" t="s">
        <v>531</v>
      </c>
      <c r="B143" t="s">
        <v>532</v>
      </c>
      <c r="C143" t="s">
        <v>533</v>
      </c>
      <c r="D143" t="s">
        <v>476</v>
      </c>
      <c r="E143" t="s">
        <v>78</v>
      </c>
      <c r="F143">
        <v>7105</v>
      </c>
      <c r="G143" t="s">
        <v>17</v>
      </c>
      <c r="H143" t="s">
        <v>27</v>
      </c>
      <c r="I143" t="s">
        <v>28</v>
      </c>
      <c r="J143" t="s">
        <v>46</v>
      </c>
      <c r="K143" t="s">
        <v>96</v>
      </c>
      <c r="L143" t="s">
        <v>38</v>
      </c>
      <c r="M143">
        <f t="shared" si="6"/>
        <v>11</v>
      </c>
      <c r="N143" t="str">
        <f t="shared" si="7"/>
        <v>Low</v>
      </c>
      <c r="O143">
        <f t="shared" si="8"/>
        <v>30</v>
      </c>
    </row>
    <row r="144" spans="1:15" x14ac:dyDescent="0.3">
      <c r="A144" t="s">
        <v>534</v>
      </c>
      <c r="B144" t="s">
        <v>535</v>
      </c>
      <c r="C144" t="s">
        <v>536</v>
      </c>
      <c r="D144" t="s">
        <v>537</v>
      </c>
      <c r="E144" t="s">
        <v>34</v>
      </c>
      <c r="F144">
        <v>7582</v>
      </c>
      <c r="G144" t="s">
        <v>63</v>
      </c>
      <c r="H144" t="s">
        <v>36</v>
      </c>
      <c r="I144" t="s">
        <v>28</v>
      </c>
      <c r="J144" t="s">
        <v>46</v>
      </c>
      <c r="K144" t="s">
        <v>80</v>
      </c>
      <c r="L144" t="s">
        <v>38</v>
      </c>
      <c r="M144">
        <f t="shared" si="6"/>
        <v>8</v>
      </c>
      <c r="N144" t="str">
        <f t="shared" si="7"/>
        <v>Low</v>
      </c>
      <c r="O144">
        <f t="shared" si="8"/>
        <v>30</v>
      </c>
    </row>
    <row r="145" spans="1:15" x14ac:dyDescent="0.3">
      <c r="A145" t="s">
        <v>538</v>
      </c>
      <c r="B145" t="s">
        <v>539</v>
      </c>
      <c r="C145" t="s">
        <v>540</v>
      </c>
      <c r="D145" t="s">
        <v>511</v>
      </c>
      <c r="E145" t="s">
        <v>62</v>
      </c>
      <c r="F145">
        <v>6686</v>
      </c>
      <c r="G145" t="s">
        <v>17</v>
      </c>
      <c r="H145" t="s">
        <v>85</v>
      </c>
      <c r="I145" t="s">
        <v>28</v>
      </c>
      <c r="J145" t="s">
        <v>20</v>
      </c>
      <c r="K145" t="s">
        <v>96</v>
      </c>
      <c r="L145" t="s">
        <v>38</v>
      </c>
      <c r="M145">
        <f t="shared" si="6"/>
        <v>6</v>
      </c>
      <c r="N145" t="str">
        <f t="shared" si="7"/>
        <v>Low</v>
      </c>
      <c r="O145">
        <f t="shared" si="8"/>
        <v>10</v>
      </c>
    </row>
    <row r="146" spans="1:15" x14ac:dyDescent="0.3">
      <c r="A146" t="s">
        <v>541</v>
      </c>
      <c r="B146" t="s">
        <v>542</v>
      </c>
      <c r="C146" t="s">
        <v>543</v>
      </c>
      <c r="D146" t="s">
        <v>409</v>
      </c>
      <c r="E146" t="s">
        <v>16</v>
      </c>
      <c r="F146">
        <v>9698</v>
      </c>
      <c r="G146" t="s">
        <v>44</v>
      </c>
      <c r="H146" t="s">
        <v>52</v>
      </c>
      <c r="I146" t="s">
        <v>28</v>
      </c>
      <c r="J146" t="s">
        <v>20</v>
      </c>
      <c r="K146" t="s">
        <v>29</v>
      </c>
      <c r="L146" t="s">
        <v>38</v>
      </c>
      <c r="M146">
        <f t="shared" si="6"/>
        <v>18</v>
      </c>
      <c r="N146" t="str">
        <f t="shared" si="7"/>
        <v>Low</v>
      </c>
      <c r="O146">
        <f t="shared" si="8"/>
        <v>40</v>
      </c>
    </row>
    <row r="147" spans="1:15" x14ac:dyDescent="0.3">
      <c r="A147" t="s">
        <v>544</v>
      </c>
      <c r="B147" t="s">
        <v>65</v>
      </c>
      <c r="C147" t="s">
        <v>545</v>
      </c>
      <c r="D147" t="s">
        <v>385</v>
      </c>
      <c r="E147" t="s">
        <v>16</v>
      </c>
      <c r="F147">
        <v>34945</v>
      </c>
      <c r="G147" t="s">
        <v>63</v>
      </c>
      <c r="H147" t="s">
        <v>45</v>
      </c>
      <c r="I147" t="s">
        <v>28</v>
      </c>
      <c r="J147" t="s">
        <v>20</v>
      </c>
      <c r="K147" t="s">
        <v>80</v>
      </c>
      <c r="L147" t="s">
        <v>22</v>
      </c>
      <c r="M147">
        <f t="shared" si="6"/>
        <v>23</v>
      </c>
      <c r="N147" t="str">
        <f t="shared" si="7"/>
        <v>High</v>
      </c>
      <c r="O147">
        <f t="shared" si="8"/>
        <v>80</v>
      </c>
    </row>
    <row r="148" spans="1:15" x14ac:dyDescent="0.3">
      <c r="A148" t="s">
        <v>546</v>
      </c>
      <c r="B148" t="s">
        <v>547</v>
      </c>
      <c r="C148" t="s">
        <v>548</v>
      </c>
      <c r="D148" t="s">
        <v>427</v>
      </c>
      <c r="E148" t="s">
        <v>78</v>
      </c>
      <c r="F148">
        <v>2449</v>
      </c>
      <c r="G148" t="s">
        <v>63</v>
      </c>
      <c r="H148" t="s">
        <v>113</v>
      </c>
      <c r="I148" t="s">
        <v>19</v>
      </c>
      <c r="J148" t="s">
        <v>20</v>
      </c>
      <c r="K148" t="s">
        <v>29</v>
      </c>
      <c r="L148" t="s">
        <v>38</v>
      </c>
      <c r="M148">
        <f t="shared" si="6"/>
        <v>14</v>
      </c>
      <c r="N148" t="str">
        <f t="shared" si="7"/>
        <v>Low</v>
      </c>
      <c r="O148">
        <f t="shared" si="8"/>
        <v>10</v>
      </c>
    </row>
    <row r="149" spans="1:15" x14ac:dyDescent="0.3">
      <c r="A149" t="s">
        <v>549</v>
      </c>
      <c r="B149" t="s">
        <v>550</v>
      </c>
      <c r="C149" t="s">
        <v>551</v>
      </c>
      <c r="D149" t="s">
        <v>399</v>
      </c>
      <c r="E149" t="s">
        <v>94</v>
      </c>
      <c r="F149">
        <v>9286</v>
      </c>
      <c r="G149" t="s">
        <v>17</v>
      </c>
      <c r="H149" t="s">
        <v>45</v>
      </c>
      <c r="I149" t="s">
        <v>28</v>
      </c>
      <c r="J149" t="s">
        <v>95</v>
      </c>
      <c r="K149" t="s">
        <v>29</v>
      </c>
      <c r="L149" t="s">
        <v>38</v>
      </c>
      <c r="M149">
        <f t="shared" si="6"/>
        <v>20</v>
      </c>
      <c r="N149" t="str">
        <f t="shared" si="7"/>
        <v>Low</v>
      </c>
      <c r="O149">
        <f t="shared" si="8"/>
        <v>10</v>
      </c>
    </row>
    <row r="150" spans="1:15" x14ac:dyDescent="0.3">
      <c r="A150" t="s">
        <v>552</v>
      </c>
      <c r="B150" t="s">
        <v>110</v>
      </c>
      <c r="C150" t="s">
        <v>553</v>
      </c>
      <c r="D150" t="s">
        <v>481</v>
      </c>
      <c r="E150" t="s">
        <v>34</v>
      </c>
      <c r="F150">
        <v>10394</v>
      </c>
      <c r="G150" t="s">
        <v>68</v>
      </c>
      <c r="H150" t="s">
        <v>105</v>
      </c>
      <c r="I150" t="s">
        <v>28</v>
      </c>
      <c r="J150" t="s">
        <v>46</v>
      </c>
      <c r="K150" t="s">
        <v>21</v>
      </c>
      <c r="L150" t="s">
        <v>38</v>
      </c>
      <c r="M150">
        <f t="shared" si="6"/>
        <v>15</v>
      </c>
      <c r="N150" t="str">
        <f t="shared" si="7"/>
        <v>Low</v>
      </c>
      <c r="O150">
        <f t="shared" si="8"/>
        <v>30</v>
      </c>
    </row>
    <row r="151" spans="1:15" x14ac:dyDescent="0.3">
      <c r="A151" t="s">
        <v>554</v>
      </c>
      <c r="B151" t="s">
        <v>519</v>
      </c>
      <c r="C151" t="s">
        <v>555</v>
      </c>
      <c r="D151" t="s">
        <v>556</v>
      </c>
      <c r="E151" t="s">
        <v>62</v>
      </c>
      <c r="F151">
        <v>666</v>
      </c>
      <c r="G151" t="s">
        <v>79</v>
      </c>
      <c r="H151" t="s">
        <v>18</v>
      </c>
      <c r="I151" t="s">
        <v>28</v>
      </c>
      <c r="J151" t="s">
        <v>46</v>
      </c>
      <c r="K151" t="s">
        <v>57</v>
      </c>
      <c r="L151" t="s">
        <v>38</v>
      </c>
      <c r="M151">
        <f t="shared" si="6"/>
        <v>7</v>
      </c>
      <c r="N151" t="str">
        <f t="shared" si="7"/>
        <v>Low</v>
      </c>
      <c r="O151">
        <f t="shared" si="8"/>
        <v>30</v>
      </c>
    </row>
    <row r="152" spans="1:15" x14ac:dyDescent="0.3">
      <c r="A152" t="s">
        <v>557</v>
      </c>
      <c r="B152" t="s">
        <v>91</v>
      </c>
      <c r="C152" t="s">
        <v>558</v>
      </c>
      <c r="D152" t="s">
        <v>89</v>
      </c>
      <c r="E152" t="s">
        <v>51</v>
      </c>
      <c r="F152">
        <v>12156</v>
      </c>
      <c r="G152" t="s">
        <v>17</v>
      </c>
      <c r="H152" t="s">
        <v>27</v>
      </c>
      <c r="I152" t="s">
        <v>28</v>
      </c>
      <c r="J152" t="s">
        <v>95</v>
      </c>
      <c r="K152" t="s">
        <v>21</v>
      </c>
      <c r="L152" t="s">
        <v>38</v>
      </c>
      <c r="M152">
        <f t="shared" si="6"/>
        <v>7</v>
      </c>
      <c r="N152" t="str">
        <f t="shared" si="7"/>
        <v>Low</v>
      </c>
      <c r="O152">
        <f t="shared" si="8"/>
        <v>10</v>
      </c>
    </row>
    <row r="153" spans="1:15" x14ac:dyDescent="0.3">
      <c r="A153" t="s">
        <v>559</v>
      </c>
      <c r="B153" t="s">
        <v>560</v>
      </c>
      <c r="C153" t="s">
        <v>169</v>
      </c>
      <c r="D153" t="s">
        <v>561</v>
      </c>
      <c r="E153" t="s">
        <v>43</v>
      </c>
      <c r="F153">
        <v>1063</v>
      </c>
      <c r="G153" t="s">
        <v>35</v>
      </c>
      <c r="H153" t="s">
        <v>18</v>
      </c>
      <c r="I153" t="s">
        <v>19</v>
      </c>
      <c r="J153" t="s">
        <v>46</v>
      </c>
      <c r="K153" t="s">
        <v>96</v>
      </c>
      <c r="L153" t="s">
        <v>38</v>
      </c>
      <c r="M153">
        <f t="shared" si="6"/>
        <v>20</v>
      </c>
      <c r="N153" t="str">
        <f t="shared" si="7"/>
        <v>Low</v>
      </c>
      <c r="O153">
        <f t="shared" si="8"/>
        <v>30</v>
      </c>
    </row>
    <row r="154" spans="1:15" x14ac:dyDescent="0.3">
      <c r="A154" t="s">
        <v>562</v>
      </c>
      <c r="B154" t="s">
        <v>563</v>
      </c>
      <c r="C154" t="s">
        <v>564</v>
      </c>
      <c r="D154" t="s">
        <v>50</v>
      </c>
      <c r="E154" t="s">
        <v>16</v>
      </c>
      <c r="F154">
        <v>8636</v>
      </c>
      <c r="G154" t="s">
        <v>17</v>
      </c>
      <c r="H154" t="s">
        <v>45</v>
      </c>
      <c r="I154" t="s">
        <v>28</v>
      </c>
      <c r="J154" t="s">
        <v>20</v>
      </c>
      <c r="K154" t="s">
        <v>57</v>
      </c>
      <c r="L154" t="s">
        <v>38</v>
      </c>
      <c r="M154">
        <f t="shared" si="6"/>
        <v>22</v>
      </c>
      <c r="N154" t="str">
        <f t="shared" si="7"/>
        <v>Low</v>
      </c>
      <c r="O154">
        <f t="shared" si="8"/>
        <v>40</v>
      </c>
    </row>
    <row r="155" spans="1:15" x14ac:dyDescent="0.3">
      <c r="A155" t="s">
        <v>565</v>
      </c>
      <c r="B155" t="s">
        <v>135</v>
      </c>
      <c r="C155" t="s">
        <v>566</v>
      </c>
      <c r="D155" t="s">
        <v>204</v>
      </c>
      <c r="E155" t="s">
        <v>43</v>
      </c>
      <c r="F155">
        <v>907</v>
      </c>
      <c r="G155" t="s">
        <v>63</v>
      </c>
      <c r="H155" t="s">
        <v>36</v>
      </c>
      <c r="I155" t="s">
        <v>28</v>
      </c>
      <c r="J155" t="s">
        <v>46</v>
      </c>
      <c r="K155" t="s">
        <v>37</v>
      </c>
      <c r="L155" t="s">
        <v>38</v>
      </c>
      <c r="M155">
        <f t="shared" si="6"/>
        <v>16</v>
      </c>
      <c r="N155" t="str">
        <f t="shared" si="7"/>
        <v>Low</v>
      </c>
      <c r="O155">
        <f t="shared" si="8"/>
        <v>30</v>
      </c>
    </row>
    <row r="156" spans="1:15" x14ac:dyDescent="0.3">
      <c r="A156" t="s">
        <v>567</v>
      </c>
      <c r="B156" t="s">
        <v>131</v>
      </c>
      <c r="C156" t="s">
        <v>568</v>
      </c>
      <c r="D156" t="s">
        <v>42</v>
      </c>
      <c r="E156" t="s">
        <v>62</v>
      </c>
      <c r="F156">
        <v>9924</v>
      </c>
      <c r="G156" t="s">
        <v>63</v>
      </c>
      <c r="H156" t="s">
        <v>113</v>
      </c>
      <c r="I156" t="s">
        <v>28</v>
      </c>
      <c r="J156" t="s">
        <v>20</v>
      </c>
      <c r="K156" t="s">
        <v>37</v>
      </c>
      <c r="L156" t="s">
        <v>38</v>
      </c>
      <c r="M156">
        <f t="shared" si="6"/>
        <v>10</v>
      </c>
      <c r="N156" t="str">
        <f t="shared" si="7"/>
        <v>Low</v>
      </c>
      <c r="O156">
        <f t="shared" si="8"/>
        <v>10</v>
      </c>
    </row>
    <row r="157" spans="1:15" x14ac:dyDescent="0.3">
      <c r="A157" t="s">
        <v>569</v>
      </c>
      <c r="B157" t="s">
        <v>397</v>
      </c>
      <c r="C157" t="s">
        <v>570</v>
      </c>
      <c r="D157" t="s">
        <v>89</v>
      </c>
      <c r="E157" t="s">
        <v>62</v>
      </c>
      <c r="F157">
        <v>2162</v>
      </c>
      <c r="G157" t="s">
        <v>63</v>
      </c>
      <c r="H157" t="s">
        <v>45</v>
      </c>
      <c r="I157" t="s">
        <v>19</v>
      </c>
      <c r="J157" t="s">
        <v>95</v>
      </c>
      <c r="K157" t="s">
        <v>80</v>
      </c>
      <c r="L157" t="s">
        <v>38</v>
      </c>
      <c r="M157">
        <f t="shared" si="6"/>
        <v>8</v>
      </c>
      <c r="N157" t="str">
        <f t="shared" si="7"/>
        <v>Low</v>
      </c>
      <c r="O157">
        <f t="shared" si="8"/>
        <v>10</v>
      </c>
    </row>
    <row r="158" spans="1:15" x14ac:dyDescent="0.3">
      <c r="A158" t="s">
        <v>571</v>
      </c>
      <c r="B158" t="s">
        <v>213</v>
      </c>
      <c r="C158" t="s">
        <v>572</v>
      </c>
      <c r="D158" t="s">
        <v>573</v>
      </c>
      <c r="E158" t="s">
        <v>16</v>
      </c>
      <c r="F158">
        <v>1581</v>
      </c>
      <c r="G158" t="s">
        <v>35</v>
      </c>
      <c r="H158" t="s">
        <v>45</v>
      </c>
      <c r="I158" t="s">
        <v>28</v>
      </c>
      <c r="J158" t="s">
        <v>46</v>
      </c>
      <c r="K158" t="s">
        <v>29</v>
      </c>
      <c r="L158" t="s">
        <v>38</v>
      </c>
      <c r="M158">
        <f t="shared" si="6"/>
        <v>19</v>
      </c>
      <c r="N158" t="str">
        <f t="shared" si="7"/>
        <v>Low</v>
      </c>
      <c r="O158">
        <f t="shared" si="8"/>
        <v>60</v>
      </c>
    </row>
    <row r="159" spans="1:15" x14ac:dyDescent="0.3">
      <c r="A159" t="s">
        <v>574</v>
      </c>
      <c r="B159" t="s">
        <v>389</v>
      </c>
      <c r="C159" t="s">
        <v>575</v>
      </c>
      <c r="D159" t="s">
        <v>84</v>
      </c>
      <c r="E159" t="s">
        <v>78</v>
      </c>
      <c r="F159">
        <v>8017</v>
      </c>
      <c r="G159" t="s">
        <v>68</v>
      </c>
      <c r="H159" t="s">
        <v>18</v>
      </c>
      <c r="I159" t="s">
        <v>28</v>
      </c>
      <c r="J159" t="s">
        <v>20</v>
      </c>
      <c r="K159" t="s">
        <v>69</v>
      </c>
      <c r="L159" t="s">
        <v>38</v>
      </c>
      <c r="M159">
        <f t="shared" si="6"/>
        <v>12</v>
      </c>
      <c r="N159" t="str">
        <f t="shared" si="7"/>
        <v>Low</v>
      </c>
      <c r="O159">
        <f t="shared" si="8"/>
        <v>10</v>
      </c>
    </row>
    <row r="160" spans="1:15" x14ac:dyDescent="0.3">
      <c r="A160" t="s">
        <v>576</v>
      </c>
      <c r="B160" t="s">
        <v>102</v>
      </c>
      <c r="C160" t="s">
        <v>577</v>
      </c>
      <c r="D160" t="s">
        <v>578</v>
      </c>
      <c r="E160" t="s">
        <v>43</v>
      </c>
      <c r="F160">
        <v>13732</v>
      </c>
      <c r="G160" t="s">
        <v>35</v>
      </c>
      <c r="H160" t="s">
        <v>113</v>
      </c>
      <c r="I160" t="s">
        <v>28</v>
      </c>
      <c r="J160" t="s">
        <v>95</v>
      </c>
      <c r="K160" t="s">
        <v>29</v>
      </c>
      <c r="L160" t="s">
        <v>38</v>
      </c>
      <c r="M160">
        <f t="shared" si="6"/>
        <v>22</v>
      </c>
      <c r="N160" t="str">
        <f t="shared" si="7"/>
        <v>Low</v>
      </c>
      <c r="O160">
        <f t="shared" si="8"/>
        <v>10</v>
      </c>
    </row>
    <row r="161" spans="1:15" x14ac:dyDescent="0.3">
      <c r="A161" t="s">
        <v>579</v>
      </c>
      <c r="B161" t="s">
        <v>580</v>
      </c>
      <c r="C161" t="s">
        <v>581</v>
      </c>
      <c r="D161" t="s">
        <v>145</v>
      </c>
      <c r="E161" t="s">
        <v>94</v>
      </c>
      <c r="F161">
        <v>12683</v>
      </c>
      <c r="G161" t="s">
        <v>63</v>
      </c>
      <c r="H161" t="s">
        <v>36</v>
      </c>
      <c r="I161" t="s">
        <v>28</v>
      </c>
      <c r="J161" t="s">
        <v>46</v>
      </c>
      <c r="K161" t="s">
        <v>80</v>
      </c>
      <c r="L161" t="s">
        <v>38</v>
      </c>
      <c r="M161">
        <f t="shared" si="6"/>
        <v>11</v>
      </c>
      <c r="N161" t="str">
        <f t="shared" si="7"/>
        <v>Low</v>
      </c>
      <c r="O161">
        <f t="shared" si="8"/>
        <v>30</v>
      </c>
    </row>
    <row r="162" spans="1:15" x14ac:dyDescent="0.3">
      <c r="A162" t="s">
        <v>582</v>
      </c>
      <c r="B162" t="s">
        <v>478</v>
      </c>
      <c r="C162" t="s">
        <v>583</v>
      </c>
      <c r="D162" t="s">
        <v>584</v>
      </c>
      <c r="E162" t="s">
        <v>34</v>
      </c>
      <c r="F162">
        <v>10053</v>
      </c>
      <c r="G162" t="s">
        <v>35</v>
      </c>
      <c r="H162" t="s">
        <v>85</v>
      </c>
      <c r="I162" t="s">
        <v>19</v>
      </c>
      <c r="J162" t="s">
        <v>95</v>
      </c>
      <c r="K162" t="s">
        <v>21</v>
      </c>
      <c r="L162" t="s">
        <v>38</v>
      </c>
      <c r="M162">
        <f t="shared" si="6"/>
        <v>15</v>
      </c>
      <c r="N162" t="str">
        <f t="shared" si="7"/>
        <v>Low</v>
      </c>
      <c r="O162">
        <f t="shared" si="8"/>
        <v>10</v>
      </c>
    </row>
    <row r="163" spans="1:15" x14ac:dyDescent="0.3">
      <c r="A163" t="s">
        <v>585</v>
      </c>
      <c r="B163" t="s">
        <v>519</v>
      </c>
      <c r="C163" t="s">
        <v>586</v>
      </c>
      <c r="D163" t="s">
        <v>429</v>
      </c>
      <c r="E163" t="s">
        <v>34</v>
      </c>
      <c r="F163">
        <v>12901</v>
      </c>
      <c r="G163" t="s">
        <v>44</v>
      </c>
      <c r="H163" t="s">
        <v>85</v>
      </c>
      <c r="I163" t="s">
        <v>28</v>
      </c>
      <c r="J163" t="s">
        <v>20</v>
      </c>
      <c r="K163" t="s">
        <v>69</v>
      </c>
      <c r="L163" t="s">
        <v>38</v>
      </c>
      <c r="M163">
        <f t="shared" si="6"/>
        <v>21</v>
      </c>
      <c r="N163" t="str">
        <f t="shared" si="7"/>
        <v>Low</v>
      </c>
      <c r="O163">
        <f t="shared" si="8"/>
        <v>10</v>
      </c>
    </row>
    <row r="164" spans="1:15" x14ac:dyDescent="0.3">
      <c r="A164" t="s">
        <v>587</v>
      </c>
      <c r="B164" t="s">
        <v>274</v>
      </c>
      <c r="C164" t="s">
        <v>588</v>
      </c>
      <c r="D164" t="s">
        <v>573</v>
      </c>
      <c r="E164" t="s">
        <v>34</v>
      </c>
      <c r="F164">
        <v>6909</v>
      </c>
      <c r="G164" t="s">
        <v>63</v>
      </c>
      <c r="H164" t="s">
        <v>113</v>
      </c>
      <c r="I164" t="s">
        <v>28</v>
      </c>
      <c r="J164" t="s">
        <v>20</v>
      </c>
      <c r="K164" t="s">
        <v>96</v>
      </c>
      <c r="L164" t="s">
        <v>38</v>
      </c>
      <c r="M164">
        <f t="shared" si="6"/>
        <v>11</v>
      </c>
      <c r="N164" t="str">
        <f t="shared" si="7"/>
        <v>Low</v>
      </c>
      <c r="O164">
        <f t="shared" si="8"/>
        <v>10</v>
      </c>
    </row>
    <row r="165" spans="1:15" x14ac:dyDescent="0.3">
      <c r="A165" t="s">
        <v>589</v>
      </c>
      <c r="B165" t="s">
        <v>300</v>
      </c>
      <c r="C165" t="s">
        <v>590</v>
      </c>
      <c r="D165" t="s">
        <v>232</v>
      </c>
      <c r="E165" t="s">
        <v>94</v>
      </c>
      <c r="F165">
        <v>9135</v>
      </c>
      <c r="G165" t="s">
        <v>35</v>
      </c>
      <c r="H165" t="s">
        <v>18</v>
      </c>
      <c r="I165" t="s">
        <v>28</v>
      </c>
      <c r="J165" t="s">
        <v>95</v>
      </c>
      <c r="K165" t="s">
        <v>96</v>
      </c>
      <c r="L165" t="s">
        <v>38</v>
      </c>
      <c r="M165">
        <f t="shared" si="6"/>
        <v>9</v>
      </c>
      <c r="N165" t="str">
        <f t="shared" si="7"/>
        <v>Low</v>
      </c>
      <c r="O165">
        <f t="shared" si="8"/>
        <v>10</v>
      </c>
    </row>
    <row r="166" spans="1:15" x14ac:dyDescent="0.3">
      <c r="A166" t="s">
        <v>591</v>
      </c>
      <c r="B166" t="s">
        <v>592</v>
      </c>
      <c r="C166" t="s">
        <v>593</v>
      </c>
      <c r="D166" t="s">
        <v>450</v>
      </c>
      <c r="E166" t="s">
        <v>34</v>
      </c>
      <c r="F166">
        <v>8460</v>
      </c>
      <c r="G166" t="s">
        <v>68</v>
      </c>
      <c r="H166" t="s">
        <v>27</v>
      </c>
      <c r="I166" t="s">
        <v>28</v>
      </c>
      <c r="J166" t="s">
        <v>46</v>
      </c>
      <c r="K166" t="s">
        <v>37</v>
      </c>
      <c r="L166" t="s">
        <v>38</v>
      </c>
      <c r="M166">
        <f t="shared" si="6"/>
        <v>10</v>
      </c>
      <c r="N166" t="str">
        <f t="shared" si="7"/>
        <v>Low</v>
      </c>
      <c r="O166">
        <f t="shared" si="8"/>
        <v>30</v>
      </c>
    </row>
    <row r="167" spans="1:15" x14ac:dyDescent="0.3">
      <c r="A167" t="s">
        <v>594</v>
      </c>
      <c r="B167" t="s">
        <v>539</v>
      </c>
      <c r="C167" t="s">
        <v>595</v>
      </c>
      <c r="D167" t="s">
        <v>596</v>
      </c>
      <c r="E167" t="s">
        <v>16</v>
      </c>
      <c r="F167">
        <v>85799</v>
      </c>
      <c r="G167" t="s">
        <v>68</v>
      </c>
      <c r="H167" t="s">
        <v>18</v>
      </c>
      <c r="I167" t="s">
        <v>28</v>
      </c>
      <c r="J167" t="s">
        <v>20</v>
      </c>
      <c r="K167" t="s">
        <v>29</v>
      </c>
      <c r="L167" t="s">
        <v>22</v>
      </c>
      <c r="M167">
        <f t="shared" si="6"/>
        <v>2</v>
      </c>
      <c r="N167" t="str">
        <f t="shared" si="7"/>
        <v>High</v>
      </c>
      <c r="O167">
        <f t="shared" si="8"/>
        <v>95</v>
      </c>
    </row>
    <row r="168" spans="1:15" x14ac:dyDescent="0.3">
      <c r="A168" t="s">
        <v>597</v>
      </c>
      <c r="B168" t="s">
        <v>598</v>
      </c>
      <c r="C168" t="s">
        <v>249</v>
      </c>
      <c r="D168" t="s">
        <v>528</v>
      </c>
      <c r="E168" t="s">
        <v>34</v>
      </c>
      <c r="F168">
        <v>13799</v>
      </c>
      <c r="G168" t="s">
        <v>17</v>
      </c>
      <c r="H168" t="s">
        <v>105</v>
      </c>
      <c r="I168" t="s">
        <v>28</v>
      </c>
      <c r="J168" t="s">
        <v>20</v>
      </c>
      <c r="K168" t="s">
        <v>69</v>
      </c>
      <c r="L168" t="s">
        <v>38</v>
      </c>
      <c r="M168">
        <f t="shared" si="6"/>
        <v>16</v>
      </c>
      <c r="N168" t="str">
        <f t="shared" si="7"/>
        <v>Low</v>
      </c>
      <c r="O168">
        <f t="shared" si="8"/>
        <v>10</v>
      </c>
    </row>
    <row r="169" spans="1:15" x14ac:dyDescent="0.3">
      <c r="A169" t="s">
        <v>599</v>
      </c>
      <c r="B169" t="s">
        <v>397</v>
      </c>
      <c r="C169" t="s">
        <v>600</v>
      </c>
      <c r="D169" t="s">
        <v>601</v>
      </c>
      <c r="E169" t="s">
        <v>51</v>
      </c>
      <c r="F169">
        <v>12482</v>
      </c>
      <c r="G169" t="s">
        <v>35</v>
      </c>
      <c r="H169" t="s">
        <v>18</v>
      </c>
      <c r="I169" t="s">
        <v>19</v>
      </c>
      <c r="J169" t="s">
        <v>95</v>
      </c>
      <c r="K169" t="s">
        <v>37</v>
      </c>
      <c r="L169" t="s">
        <v>38</v>
      </c>
      <c r="M169">
        <f t="shared" si="6"/>
        <v>21</v>
      </c>
      <c r="N169" t="str">
        <f t="shared" si="7"/>
        <v>Low</v>
      </c>
      <c r="O169">
        <f t="shared" si="8"/>
        <v>10</v>
      </c>
    </row>
    <row r="170" spans="1:15" x14ac:dyDescent="0.3">
      <c r="A170" t="s">
        <v>602</v>
      </c>
      <c r="B170" t="s">
        <v>603</v>
      </c>
      <c r="C170" t="s">
        <v>604</v>
      </c>
      <c r="D170" t="s">
        <v>476</v>
      </c>
      <c r="E170" t="s">
        <v>51</v>
      </c>
      <c r="F170">
        <v>11965</v>
      </c>
      <c r="G170" t="s">
        <v>68</v>
      </c>
      <c r="H170" t="s">
        <v>52</v>
      </c>
      <c r="I170" t="s">
        <v>19</v>
      </c>
      <c r="J170" t="s">
        <v>20</v>
      </c>
      <c r="K170" t="s">
        <v>37</v>
      </c>
      <c r="L170" t="s">
        <v>38</v>
      </c>
      <c r="M170">
        <f t="shared" si="6"/>
        <v>22</v>
      </c>
      <c r="N170" t="str">
        <f t="shared" si="7"/>
        <v>Low</v>
      </c>
      <c r="O170">
        <f t="shared" si="8"/>
        <v>10</v>
      </c>
    </row>
    <row r="171" spans="1:15" x14ac:dyDescent="0.3">
      <c r="A171" t="s">
        <v>605</v>
      </c>
      <c r="B171" t="s">
        <v>606</v>
      </c>
      <c r="C171" t="s">
        <v>607</v>
      </c>
      <c r="D171" t="s">
        <v>342</v>
      </c>
      <c r="E171" t="s">
        <v>43</v>
      </c>
      <c r="F171">
        <v>10518</v>
      </c>
      <c r="G171" t="s">
        <v>79</v>
      </c>
      <c r="H171" t="s">
        <v>85</v>
      </c>
      <c r="I171" t="s">
        <v>19</v>
      </c>
      <c r="J171" t="s">
        <v>20</v>
      </c>
      <c r="K171" t="s">
        <v>80</v>
      </c>
      <c r="L171" t="s">
        <v>38</v>
      </c>
      <c r="M171">
        <f t="shared" si="6"/>
        <v>20</v>
      </c>
      <c r="N171" t="str">
        <f t="shared" si="7"/>
        <v>Low</v>
      </c>
      <c r="O171">
        <f t="shared" si="8"/>
        <v>10</v>
      </c>
    </row>
    <row r="172" spans="1:15" x14ac:dyDescent="0.3">
      <c r="A172" t="s">
        <v>608</v>
      </c>
      <c r="B172" t="s">
        <v>609</v>
      </c>
      <c r="C172" t="s">
        <v>610</v>
      </c>
      <c r="D172" t="s">
        <v>158</v>
      </c>
      <c r="E172" t="s">
        <v>51</v>
      </c>
      <c r="F172">
        <v>2402</v>
      </c>
      <c r="G172" t="s">
        <v>17</v>
      </c>
      <c r="H172" t="s">
        <v>45</v>
      </c>
      <c r="I172" t="s">
        <v>19</v>
      </c>
      <c r="J172" t="s">
        <v>20</v>
      </c>
      <c r="K172" t="s">
        <v>21</v>
      </c>
      <c r="L172" t="s">
        <v>38</v>
      </c>
      <c r="M172">
        <f t="shared" si="6"/>
        <v>15</v>
      </c>
      <c r="N172" t="str">
        <f t="shared" si="7"/>
        <v>Low</v>
      </c>
      <c r="O172">
        <f t="shared" si="8"/>
        <v>10</v>
      </c>
    </row>
    <row r="173" spans="1:15" x14ac:dyDescent="0.3">
      <c r="A173" t="s">
        <v>611</v>
      </c>
      <c r="B173" t="s">
        <v>612</v>
      </c>
      <c r="C173" t="s">
        <v>613</v>
      </c>
      <c r="D173" t="s">
        <v>614</v>
      </c>
      <c r="E173" t="s">
        <v>62</v>
      </c>
      <c r="F173">
        <v>1452</v>
      </c>
      <c r="G173" t="s">
        <v>17</v>
      </c>
      <c r="H173" t="s">
        <v>105</v>
      </c>
      <c r="I173" t="s">
        <v>28</v>
      </c>
      <c r="J173" t="s">
        <v>20</v>
      </c>
      <c r="K173" t="s">
        <v>69</v>
      </c>
      <c r="L173" t="s">
        <v>38</v>
      </c>
      <c r="M173">
        <f t="shared" si="6"/>
        <v>22</v>
      </c>
      <c r="N173" t="str">
        <f t="shared" si="7"/>
        <v>Low</v>
      </c>
      <c r="O173">
        <f t="shared" si="8"/>
        <v>10</v>
      </c>
    </row>
    <row r="174" spans="1:15" x14ac:dyDescent="0.3">
      <c r="A174" t="s">
        <v>615</v>
      </c>
      <c r="B174" t="s">
        <v>48</v>
      </c>
      <c r="C174" t="s">
        <v>616</v>
      </c>
      <c r="D174" t="s">
        <v>617</v>
      </c>
      <c r="E174" t="s">
        <v>94</v>
      </c>
      <c r="F174">
        <v>6166</v>
      </c>
      <c r="G174" t="s">
        <v>63</v>
      </c>
      <c r="H174" t="s">
        <v>18</v>
      </c>
      <c r="I174" t="s">
        <v>28</v>
      </c>
      <c r="J174" t="s">
        <v>20</v>
      </c>
      <c r="K174" t="s">
        <v>29</v>
      </c>
      <c r="L174" t="s">
        <v>38</v>
      </c>
      <c r="M174">
        <f t="shared" si="6"/>
        <v>14</v>
      </c>
      <c r="N174" t="str">
        <f t="shared" si="7"/>
        <v>Low</v>
      </c>
      <c r="O174">
        <f t="shared" si="8"/>
        <v>10</v>
      </c>
    </row>
    <row r="175" spans="1:15" x14ac:dyDescent="0.3">
      <c r="A175" t="s">
        <v>618</v>
      </c>
      <c r="B175" t="s">
        <v>131</v>
      </c>
      <c r="C175" t="s">
        <v>619</v>
      </c>
      <c r="D175" t="s">
        <v>235</v>
      </c>
      <c r="E175" t="s">
        <v>78</v>
      </c>
      <c r="F175">
        <v>12690</v>
      </c>
      <c r="G175" t="s">
        <v>63</v>
      </c>
      <c r="H175" t="s">
        <v>45</v>
      </c>
      <c r="I175" t="s">
        <v>19</v>
      </c>
      <c r="J175" t="s">
        <v>20</v>
      </c>
      <c r="K175" t="s">
        <v>69</v>
      </c>
      <c r="L175" t="s">
        <v>38</v>
      </c>
      <c r="M175">
        <f t="shared" si="6"/>
        <v>16</v>
      </c>
      <c r="N175" t="str">
        <f t="shared" si="7"/>
        <v>Low</v>
      </c>
      <c r="O175">
        <f t="shared" si="8"/>
        <v>10</v>
      </c>
    </row>
    <row r="176" spans="1:15" x14ac:dyDescent="0.3">
      <c r="A176" t="s">
        <v>620</v>
      </c>
      <c r="B176" t="s">
        <v>303</v>
      </c>
      <c r="C176" t="s">
        <v>621</v>
      </c>
      <c r="D176" t="s">
        <v>622</v>
      </c>
      <c r="E176" t="s">
        <v>34</v>
      </c>
      <c r="F176">
        <v>7890</v>
      </c>
      <c r="G176" t="s">
        <v>35</v>
      </c>
      <c r="H176" t="s">
        <v>85</v>
      </c>
      <c r="I176" t="s">
        <v>19</v>
      </c>
      <c r="J176" t="s">
        <v>20</v>
      </c>
      <c r="K176" t="s">
        <v>37</v>
      </c>
      <c r="L176" t="s">
        <v>38</v>
      </c>
      <c r="M176">
        <f t="shared" si="6"/>
        <v>11</v>
      </c>
      <c r="N176" t="str">
        <f t="shared" si="7"/>
        <v>Low</v>
      </c>
      <c r="O176">
        <f t="shared" si="8"/>
        <v>10</v>
      </c>
    </row>
    <row r="177" spans="1:15" x14ac:dyDescent="0.3">
      <c r="A177" t="s">
        <v>623</v>
      </c>
      <c r="B177" t="s">
        <v>48</v>
      </c>
      <c r="C177" t="s">
        <v>624</v>
      </c>
      <c r="D177" t="s">
        <v>488</v>
      </c>
      <c r="E177" t="s">
        <v>62</v>
      </c>
      <c r="F177">
        <v>14562</v>
      </c>
      <c r="G177" t="s">
        <v>68</v>
      </c>
      <c r="H177" t="s">
        <v>36</v>
      </c>
      <c r="I177" t="s">
        <v>28</v>
      </c>
      <c r="J177" t="s">
        <v>46</v>
      </c>
      <c r="K177" t="s">
        <v>37</v>
      </c>
      <c r="L177" t="s">
        <v>38</v>
      </c>
      <c r="M177">
        <f t="shared" si="6"/>
        <v>7</v>
      </c>
      <c r="N177" t="str">
        <f t="shared" si="7"/>
        <v>Low</v>
      </c>
      <c r="O177">
        <f t="shared" si="8"/>
        <v>30</v>
      </c>
    </row>
    <row r="178" spans="1:15" x14ac:dyDescent="0.3">
      <c r="A178" t="s">
        <v>625</v>
      </c>
      <c r="B178" t="s">
        <v>626</v>
      </c>
      <c r="C178" t="s">
        <v>627</v>
      </c>
      <c r="D178" t="s">
        <v>628</v>
      </c>
      <c r="E178" t="s">
        <v>34</v>
      </c>
      <c r="F178">
        <v>5898</v>
      </c>
      <c r="G178" t="s">
        <v>44</v>
      </c>
      <c r="H178" t="s">
        <v>52</v>
      </c>
      <c r="I178" t="s">
        <v>19</v>
      </c>
      <c r="J178" t="s">
        <v>95</v>
      </c>
      <c r="K178" t="s">
        <v>69</v>
      </c>
      <c r="L178" t="s">
        <v>38</v>
      </c>
      <c r="M178">
        <f t="shared" si="6"/>
        <v>7</v>
      </c>
      <c r="N178" t="str">
        <f t="shared" si="7"/>
        <v>Low</v>
      </c>
      <c r="O178">
        <f t="shared" si="8"/>
        <v>10</v>
      </c>
    </row>
    <row r="179" spans="1:15" x14ac:dyDescent="0.3">
      <c r="A179" t="s">
        <v>629</v>
      </c>
      <c r="B179" t="s">
        <v>98</v>
      </c>
      <c r="C179" t="s">
        <v>630</v>
      </c>
      <c r="D179" t="s">
        <v>631</v>
      </c>
      <c r="E179" t="s">
        <v>51</v>
      </c>
      <c r="F179">
        <v>12228</v>
      </c>
      <c r="G179" t="s">
        <v>79</v>
      </c>
      <c r="H179" t="s">
        <v>85</v>
      </c>
      <c r="I179" t="s">
        <v>28</v>
      </c>
      <c r="J179" t="s">
        <v>46</v>
      </c>
      <c r="K179" t="s">
        <v>37</v>
      </c>
      <c r="L179" t="s">
        <v>38</v>
      </c>
      <c r="M179">
        <f t="shared" si="6"/>
        <v>20</v>
      </c>
      <c r="N179" t="str">
        <f t="shared" si="7"/>
        <v>Low</v>
      </c>
      <c r="O179">
        <f t="shared" si="8"/>
        <v>30</v>
      </c>
    </row>
    <row r="180" spans="1:15" x14ac:dyDescent="0.3">
      <c r="A180" t="s">
        <v>632</v>
      </c>
      <c r="B180" t="s">
        <v>633</v>
      </c>
      <c r="C180" t="s">
        <v>634</v>
      </c>
      <c r="D180" t="s">
        <v>635</v>
      </c>
      <c r="E180" t="s">
        <v>43</v>
      </c>
      <c r="F180">
        <v>11962</v>
      </c>
      <c r="G180" t="s">
        <v>68</v>
      </c>
      <c r="H180" t="s">
        <v>113</v>
      </c>
      <c r="I180" t="s">
        <v>28</v>
      </c>
      <c r="J180" t="s">
        <v>46</v>
      </c>
      <c r="K180" t="s">
        <v>37</v>
      </c>
      <c r="L180" t="s">
        <v>38</v>
      </c>
      <c r="M180">
        <f t="shared" si="6"/>
        <v>19</v>
      </c>
      <c r="N180" t="str">
        <f t="shared" si="7"/>
        <v>Low</v>
      </c>
      <c r="O180">
        <f t="shared" si="8"/>
        <v>30</v>
      </c>
    </row>
    <row r="181" spans="1:15" x14ac:dyDescent="0.3">
      <c r="A181" t="s">
        <v>636</v>
      </c>
      <c r="B181" t="s">
        <v>420</v>
      </c>
      <c r="C181" t="s">
        <v>637</v>
      </c>
      <c r="D181" t="s">
        <v>638</v>
      </c>
      <c r="E181" t="s">
        <v>51</v>
      </c>
      <c r="F181">
        <v>4893</v>
      </c>
      <c r="G181" t="s">
        <v>17</v>
      </c>
      <c r="H181" t="s">
        <v>36</v>
      </c>
      <c r="I181" t="s">
        <v>19</v>
      </c>
      <c r="J181" t="s">
        <v>95</v>
      </c>
      <c r="K181" t="s">
        <v>80</v>
      </c>
      <c r="L181" t="s">
        <v>38</v>
      </c>
      <c r="M181">
        <f t="shared" si="6"/>
        <v>15</v>
      </c>
      <c r="N181" t="str">
        <f t="shared" si="7"/>
        <v>Low</v>
      </c>
      <c r="O181">
        <f t="shared" si="8"/>
        <v>10</v>
      </c>
    </row>
    <row r="182" spans="1:15" x14ac:dyDescent="0.3">
      <c r="A182" t="s">
        <v>639</v>
      </c>
      <c r="B182" t="s">
        <v>366</v>
      </c>
      <c r="C182" t="s">
        <v>466</v>
      </c>
      <c r="D182" t="s">
        <v>215</v>
      </c>
      <c r="E182" t="s">
        <v>16</v>
      </c>
      <c r="F182">
        <v>11958</v>
      </c>
      <c r="G182" t="s">
        <v>63</v>
      </c>
      <c r="H182" t="s">
        <v>105</v>
      </c>
      <c r="I182" t="s">
        <v>19</v>
      </c>
      <c r="J182" t="s">
        <v>46</v>
      </c>
      <c r="K182" t="s">
        <v>80</v>
      </c>
      <c r="L182" t="s">
        <v>38</v>
      </c>
      <c r="M182">
        <f t="shared" si="6"/>
        <v>17</v>
      </c>
      <c r="N182" t="str">
        <f t="shared" si="7"/>
        <v>Low</v>
      </c>
      <c r="O182">
        <f t="shared" si="8"/>
        <v>60</v>
      </c>
    </row>
    <row r="183" spans="1:15" x14ac:dyDescent="0.3">
      <c r="A183" t="s">
        <v>640</v>
      </c>
      <c r="B183" t="s">
        <v>641</v>
      </c>
      <c r="C183" t="s">
        <v>642</v>
      </c>
      <c r="D183" t="s">
        <v>643</v>
      </c>
      <c r="E183" t="s">
        <v>43</v>
      </c>
      <c r="F183">
        <v>13175</v>
      </c>
      <c r="G183" t="s">
        <v>68</v>
      </c>
      <c r="H183" t="s">
        <v>85</v>
      </c>
      <c r="I183" t="s">
        <v>19</v>
      </c>
      <c r="J183" t="s">
        <v>20</v>
      </c>
      <c r="K183" t="s">
        <v>29</v>
      </c>
      <c r="L183" t="s">
        <v>38</v>
      </c>
      <c r="M183">
        <f t="shared" si="6"/>
        <v>11</v>
      </c>
      <c r="N183" t="str">
        <f t="shared" si="7"/>
        <v>Low</v>
      </c>
      <c r="O183">
        <f t="shared" si="8"/>
        <v>10</v>
      </c>
    </row>
    <row r="184" spans="1:15" x14ac:dyDescent="0.3">
      <c r="A184" t="s">
        <v>644</v>
      </c>
      <c r="B184" t="s">
        <v>478</v>
      </c>
      <c r="C184" t="s">
        <v>645</v>
      </c>
      <c r="D184" t="s">
        <v>378</v>
      </c>
      <c r="E184" t="s">
        <v>51</v>
      </c>
      <c r="F184">
        <v>6051</v>
      </c>
      <c r="G184" t="s">
        <v>44</v>
      </c>
      <c r="H184" t="s">
        <v>113</v>
      </c>
      <c r="I184" t="s">
        <v>28</v>
      </c>
      <c r="J184" t="s">
        <v>95</v>
      </c>
      <c r="K184" t="s">
        <v>37</v>
      </c>
      <c r="L184" t="s">
        <v>38</v>
      </c>
      <c r="M184">
        <f t="shared" si="6"/>
        <v>17</v>
      </c>
      <c r="N184" t="str">
        <f t="shared" si="7"/>
        <v>Low</v>
      </c>
      <c r="O184">
        <f t="shared" si="8"/>
        <v>10</v>
      </c>
    </row>
    <row r="185" spans="1:15" x14ac:dyDescent="0.3">
      <c r="A185" t="s">
        <v>646</v>
      </c>
      <c r="B185" t="s">
        <v>184</v>
      </c>
      <c r="C185" t="s">
        <v>647</v>
      </c>
      <c r="D185" t="s">
        <v>437</v>
      </c>
      <c r="E185" t="s">
        <v>16</v>
      </c>
      <c r="F185">
        <v>9453</v>
      </c>
      <c r="G185" t="s">
        <v>68</v>
      </c>
      <c r="H185" t="s">
        <v>45</v>
      </c>
      <c r="I185" t="s">
        <v>28</v>
      </c>
      <c r="J185" t="s">
        <v>46</v>
      </c>
      <c r="K185" t="s">
        <v>29</v>
      </c>
      <c r="L185" t="s">
        <v>38</v>
      </c>
      <c r="M185">
        <f t="shared" si="6"/>
        <v>10</v>
      </c>
      <c r="N185" t="str">
        <f t="shared" si="7"/>
        <v>Low</v>
      </c>
      <c r="O185">
        <f t="shared" si="8"/>
        <v>60</v>
      </c>
    </row>
    <row r="186" spans="1:15" x14ac:dyDescent="0.3">
      <c r="A186" t="s">
        <v>648</v>
      </c>
      <c r="B186" t="s">
        <v>649</v>
      </c>
      <c r="C186" t="s">
        <v>650</v>
      </c>
      <c r="D186" t="s">
        <v>651</v>
      </c>
      <c r="E186" t="s">
        <v>51</v>
      </c>
      <c r="F186">
        <v>8226</v>
      </c>
      <c r="G186" t="s">
        <v>17</v>
      </c>
      <c r="H186" t="s">
        <v>52</v>
      </c>
      <c r="I186" t="s">
        <v>28</v>
      </c>
      <c r="J186" t="s">
        <v>95</v>
      </c>
      <c r="K186" t="s">
        <v>80</v>
      </c>
      <c r="L186" t="s">
        <v>38</v>
      </c>
      <c r="M186">
        <f t="shared" si="6"/>
        <v>22</v>
      </c>
      <c r="N186" t="str">
        <f t="shared" si="7"/>
        <v>Low</v>
      </c>
      <c r="O186">
        <f t="shared" si="8"/>
        <v>10</v>
      </c>
    </row>
    <row r="187" spans="1:15" x14ac:dyDescent="0.3">
      <c r="A187" t="s">
        <v>652</v>
      </c>
      <c r="B187" t="s">
        <v>127</v>
      </c>
      <c r="C187" t="s">
        <v>653</v>
      </c>
      <c r="D187" t="s">
        <v>654</v>
      </c>
      <c r="E187" t="s">
        <v>78</v>
      </c>
      <c r="F187">
        <v>4728</v>
      </c>
      <c r="G187" t="s">
        <v>63</v>
      </c>
      <c r="H187" t="s">
        <v>18</v>
      </c>
      <c r="I187" t="s">
        <v>28</v>
      </c>
      <c r="J187" t="s">
        <v>20</v>
      </c>
      <c r="K187" t="s">
        <v>29</v>
      </c>
      <c r="L187" t="s">
        <v>38</v>
      </c>
      <c r="M187">
        <f t="shared" si="6"/>
        <v>21</v>
      </c>
      <c r="N187" t="str">
        <f t="shared" si="7"/>
        <v>Low</v>
      </c>
      <c r="O187">
        <f t="shared" si="8"/>
        <v>10</v>
      </c>
    </row>
    <row r="188" spans="1:15" x14ac:dyDescent="0.3">
      <c r="A188" t="s">
        <v>655</v>
      </c>
      <c r="B188" t="s">
        <v>184</v>
      </c>
      <c r="C188" t="s">
        <v>656</v>
      </c>
      <c r="D188" t="s">
        <v>481</v>
      </c>
      <c r="E188" t="s">
        <v>94</v>
      </c>
      <c r="F188">
        <v>13329</v>
      </c>
      <c r="G188" t="s">
        <v>35</v>
      </c>
      <c r="H188" t="s">
        <v>18</v>
      </c>
      <c r="I188" t="s">
        <v>28</v>
      </c>
      <c r="J188" t="s">
        <v>46</v>
      </c>
      <c r="K188" t="s">
        <v>37</v>
      </c>
      <c r="L188" t="s">
        <v>38</v>
      </c>
      <c r="M188">
        <f t="shared" si="6"/>
        <v>16</v>
      </c>
      <c r="N188" t="str">
        <f t="shared" si="7"/>
        <v>Low</v>
      </c>
      <c r="O188">
        <f t="shared" si="8"/>
        <v>30</v>
      </c>
    </row>
    <row r="189" spans="1:15" x14ac:dyDescent="0.3">
      <c r="A189" t="s">
        <v>657</v>
      </c>
      <c r="B189" t="s">
        <v>356</v>
      </c>
      <c r="C189" t="s">
        <v>658</v>
      </c>
      <c r="D189" t="s">
        <v>149</v>
      </c>
      <c r="E189" t="s">
        <v>16</v>
      </c>
      <c r="F189">
        <v>13053</v>
      </c>
      <c r="G189" t="s">
        <v>17</v>
      </c>
      <c r="H189" t="s">
        <v>27</v>
      </c>
      <c r="I189" t="s">
        <v>19</v>
      </c>
      <c r="J189" t="s">
        <v>20</v>
      </c>
      <c r="K189" t="s">
        <v>29</v>
      </c>
      <c r="L189" t="s">
        <v>38</v>
      </c>
      <c r="M189">
        <f t="shared" si="6"/>
        <v>17</v>
      </c>
      <c r="N189" t="str">
        <f t="shared" si="7"/>
        <v>Low</v>
      </c>
      <c r="O189">
        <f t="shared" si="8"/>
        <v>40</v>
      </c>
    </row>
    <row r="190" spans="1:15" x14ac:dyDescent="0.3">
      <c r="A190" t="s">
        <v>659</v>
      </c>
      <c r="B190" t="s">
        <v>649</v>
      </c>
      <c r="C190" t="s">
        <v>660</v>
      </c>
      <c r="D190" t="s">
        <v>661</v>
      </c>
      <c r="E190" t="s">
        <v>51</v>
      </c>
      <c r="F190">
        <v>9426</v>
      </c>
      <c r="G190" t="s">
        <v>17</v>
      </c>
      <c r="H190" t="s">
        <v>18</v>
      </c>
      <c r="I190" t="s">
        <v>19</v>
      </c>
      <c r="J190" t="s">
        <v>95</v>
      </c>
      <c r="K190" t="s">
        <v>37</v>
      </c>
      <c r="L190" t="s">
        <v>38</v>
      </c>
      <c r="M190">
        <f t="shared" si="6"/>
        <v>17</v>
      </c>
      <c r="N190" t="str">
        <f t="shared" si="7"/>
        <v>Low</v>
      </c>
      <c r="O190">
        <f t="shared" si="8"/>
        <v>10</v>
      </c>
    </row>
    <row r="191" spans="1:15" x14ac:dyDescent="0.3">
      <c r="A191" t="s">
        <v>662</v>
      </c>
      <c r="B191" t="s">
        <v>333</v>
      </c>
      <c r="C191" t="s">
        <v>663</v>
      </c>
      <c r="D191" t="s">
        <v>614</v>
      </c>
      <c r="E191" t="s">
        <v>34</v>
      </c>
      <c r="F191">
        <v>12651</v>
      </c>
      <c r="G191" t="s">
        <v>68</v>
      </c>
      <c r="H191" t="s">
        <v>113</v>
      </c>
      <c r="I191" t="s">
        <v>28</v>
      </c>
      <c r="J191" t="s">
        <v>95</v>
      </c>
      <c r="K191" t="s">
        <v>80</v>
      </c>
      <c r="L191" t="s">
        <v>38</v>
      </c>
      <c r="M191">
        <f t="shared" si="6"/>
        <v>19</v>
      </c>
      <c r="N191" t="str">
        <f t="shared" si="7"/>
        <v>Low</v>
      </c>
      <c r="O191">
        <f t="shared" si="8"/>
        <v>10</v>
      </c>
    </row>
    <row r="192" spans="1:15" x14ac:dyDescent="0.3">
      <c r="A192" t="s">
        <v>664</v>
      </c>
      <c r="B192" t="s">
        <v>665</v>
      </c>
      <c r="C192" t="s">
        <v>666</v>
      </c>
      <c r="D192" t="s">
        <v>667</v>
      </c>
      <c r="E192" t="s">
        <v>78</v>
      </c>
      <c r="F192">
        <v>8526</v>
      </c>
      <c r="G192" t="s">
        <v>79</v>
      </c>
      <c r="H192" t="s">
        <v>113</v>
      </c>
      <c r="I192" t="s">
        <v>19</v>
      </c>
      <c r="J192" t="s">
        <v>95</v>
      </c>
      <c r="K192" t="s">
        <v>57</v>
      </c>
      <c r="L192" t="s">
        <v>38</v>
      </c>
      <c r="M192">
        <f t="shared" si="6"/>
        <v>17</v>
      </c>
      <c r="N192" t="str">
        <f t="shared" si="7"/>
        <v>Low</v>
      </c>
      <c r="O192">
        <f t="shared" si="8"/>
        <v>10</v>
      </c>
    </row>
    <row r="193" spans="1:15" x14ac:dyDescent="0.3">
      <c r="A193" t="s">
        <v>668</v>
      </c>
      <c r="B193" t="s">
        <v>416</v>
      </c>
      <c r="C193" t="s">
        <v>669</v>
      </c>
      <c r="D193" t="s">
        <v>129</v>
      </c>
      <c r="E193" t="s">
        <v>62</v>
      </c>
      <c r="F193">
        <v>8538</v>
      </c>
      <c r="G193" t="s">
        <v>79</v>
      </c>
      <c r="H193" t="s">
        <v>45</v>
      </c>
      <c r="I193" t="s">
        <v>19</v>
      </c>
      <c r="J193" t="s">
        <v>20</v>
      </c>
      <c r="K193" t="s">
        <v>37</v>
      </c>
      <c r="L193" t="s">
        <v>38</v>
      </c>
      <c r="M193">
        <f t="shared" si="6"/>
        <v>10</v>
      </c>
      <c r="N193" t="str">
        <f t="shared" si="7"/>
        <v>Low</v>
      </c>
      <c r="O193">
        <f t="shared" si="8"/>
        <v>10</v>
      </c>
    </row>
    <row r="194" spans="1:15" x14ac:dyDescent="0.3">
      <c r="A194" t="s">
        <v>670</v>
      </c>
      <c r="B194" t="s">
        <v>526</v>
      </c>
      <c r="C194" t="s">
        <v>671</v>
      </c>
      <c r="D194" t="s">
        <v>192</v>
      </c>
      <c r="E194" t="s">
        <v>94</v>
      </c>
      <c r="F194">
        <v>4155</v>
      </c>
      <c r="G194" t="s">
        <v>79</v>
      </c>
      <c r="H194" t="s">
        <v>113</v>
      </c>
      <c r="I194" t="s">
        <v>28</v>
      </c>
      <c r="J194" t="s">
        <v>95</v>
      </c>
      <c r="K194" t="s">
        <v>21</v>
      </c>
      <c r="L194" t="s">
        <v>38</v>
      </c>
      <c r="M194">
        <f t="shared" ref="M194:M257" si="9">HOUR(C194)</f>
        <v>12</v>
      </c>
      <c r="N194" t="str">
        <f t="shared" ref="N194:N257" si="10">IF(L194="Yes","High","Low")</f>
        <v>Low</v>
      </c>
      <c r="O194">
        <f t="shared" ref="O194:O257" si="11">IF(F194&gt;20000,50,10)+IF(J194="Failed",20,0)+IF(E194="Unknown",30,0)+IF(M194&lt;5,15,0)</f>
        <v>10</v>
      </c>
    </row>
    <row r="195" spans="1:15" x14ac:dyDescent="0.3">
      <c r="A195" t="s">
        <v>672</v>
      </c>
      <c r="B195" t="s">
        <v>180</v>
      </c>
      <c r="C195" t="s">
        <v>673</v>
      </c>
      <c r="D195" t="s">
        <v>368</v>
      </c>
      <c r="E195" t="s">
        <v>78</v>
      </c>
      <c r="F195">
        <v>2812</v>
      </c>
      <c r="G195" t="s">
        <v>68</v>
      </c>
      <c r="H195" t="s">
        <v>45</v>
      </c>
      <c r="I195" t="s">
        <v>19</v>
      </c>
      <c r="J195" t="s">
        <v>95</v>
      </c>
      <c r="K195" t="s">
        <v>69</v>
      </c>
      <c r="L195" t="s">
        <v>38</v>
      </c>
      <c r="M195">
        <f t="shared" si="9"/>
        <v>10</v>
      </c>
      <c r="N195" t="str">
        <f t="shared" si="10"/>
        <v>Low</v>
      </c>
      <c r="O195">
        <f t="shared" si="11"/>
        <v>10</v>
      </c>
    </row>
    <row r="196" spans="1:15" x14ac:dyDescent="0.3">
      <c r="A196" t="s">
        <v>674</v>
      </c>
      <c r="B196" t="s">
        <v>420</v>
      </c>
      <c r="C196" t="s">
        <v>675</v>
      </c>
      <c r="D196" t="s">
        <v>676</v>
      </c>
      <c r="E196" t="s">
        <v>16</v>
      </c>
      <c r="F196">
        <v>54688</v>
      </c>
      <c r="G196" t="s">
        <v>79</v>
      </c>
      <c r="H196" t="s">
        <v>105</v>
      </c>
      <c r="I196" t="s">
        <v>28</v>
      </c>
      <c r="J196" t="s">
        <v>46</v>
      </c>
      <c r="K196" t="s">
        <v>80</v>
      </c>
      <c r="L196" t="s">
        <v>22</v>
      </c>
      <c r="M196">
        <f t="shared" si="9"/>
        <v>1</v>
      </c>
      <c r="N196" t="str">
        <f t="shared" si="10"/>
        <v>High</v>
      </c>
      <c r="O196">
        <f t="shared" si="11"/>
        <v>115</v>
      </c>
    </row>
    <row r="197" spans="1:15" x14ac:dyDescent="0.3">
      <c r="A197" t="s">
        <v>677</v>
      </c>
      <c r="B197" t="s">
        <v>678</v>
      </c>
      <c r="C197" t="s">
        <v>679</v>
      </c>
      <c r="D197" t="s">
        <v>121</v>
      </c>
      <c r="E197" t="s">
        <v>78</v>
      </c>
      <c r="F197">
        <v>4999</v>
      </c>
      <c r="G197" t="s">
        <v>63</v>
      </c>
      <c r="H197" t="s">
        <v>52</v>
      </c>
      <c r="I197" t="s">
        <v>28</v>
      </c>
      <c r="J197" t="s">
        <v>95</v>
      </c>
      <c r="K197" t="s">
        <v>96</v>
      </c>
      <c r="L197" t="s">
        <v>38</v>
      </c>
      <c r="M197">
        <f t="shared" si="9"/>
        <v>21</v>
      </c>
      <c r="N197" t="str">
        <f t="shared" si="10"/>
        <v>Low</v>
      </c>
      <c r="O197">
        <f t="shared" si="11"/>
        <v>10</v>
      </c>
    </row>
    <row r="198" spans="1:15" x14ac:dyDescent="0.3">
      <c r="A198" t="s">
        <v>680</v>
      </c>
      <c r="B198" t="s">
        <v>681</v>
      </c>
      <c r="C198" t="s">
        <v>682</v>
      </c>
      <c r="D198" t="s">
        <v>378</v>
      </c>
      <c r="E198" t="s">
        <v>51</v>
      </c>
      <c r="F198">
        <v>6859</v>
      </c>
      <c r="G198" t="s">
        <v>63</v>
      </c>
      <c r="H198" t="s">
        <v>113</v>
      </c>
      <c r="I198" t="s">
        <v>28</v>
      </c>
      <c r="J198" t="s">
        <v>20</v>
      </c>
      <c r="K198" t="s">
        <v>69</v>
      </c>
      <c r="L198" t="s">
        <v>38</v>
      </c>
      <c r="M198">
        <f t="shared" si="9"/>
        <v>21</v>
      </c>
      <c r="N198" t="str">
        <f t="shared" si="10"/>
        <v>Low</v>
      </c>
      <c r="O198">
        <f t="shared" si="11"/>
        <v>10</v>
      </c>
    </row>
    <row r="199" spans="1:15" x14ac:dyDescent="0.3">
      <c r="A199" t="s">
        <v>683</v>
      </c>
      <c r="B199" t="s">
        <v>598</v>
      </c>
      <c r="C199" t="s">
        <v>684</v>
      </c>
      <c r="D199" t="s">
        <v>596</v>
      </c>
      <c r="E199" t="s">
        <v>51</v>
      </c>
      <c r="F199">
        <v>14152</v>
      </c>
      <c r="G199" t="s">
        <v>35</v>
      </c>
      <c r="H199" t="s">
        <v>45</v>
      </c>
      <c r="I199" t="s">
        <v>19</v>
      </c>
      <c r="J199" t="s">
        <v>20</v>
      </c>
      <c r="K199" t="s">
        <v>37</v>
      </c>
      <c r="L199" t="s">
        <v>38</v>
      </c>
      <c r="M199">
        <f t="shared" si="9"/>
        <v>17</v>
      </c>
      <c r="N199" t="str">
        <f t="shared" si="10"/>
        <v>Low</v>
      </c>
      <c r="O199">
        <f t="shared" si="11"/>
        <v>10</v>
      </c>
    </row>
    <row r="200" spans="1:15" x14ac:dyDescent="0.3">
      <c r="A200" t="s">
        <v>685</v>
      </c>
      <c r="B200" t="s">
        <v>686</v>
      </c>
      <c r="C200" t="s">
        <v>687</v>
      </c>
      <c r="D200" t="s">
        <v>149</v>
      </c>
      <c r="E200" t="s">
        <v>16</v>
      </c>
      <c r="F200">
        <v>78929</v>
      </c>
      <c r="G200" t="s">
        <v>79</v>
      </c>
      <c r="H200" t="s">
        <v>105</v>
      </c>
      <c r="I200" t="s">
        <v>28</v>
      </c>
      <c r="J200" t="s">
        <v>20</v>
      </c>
      <c r="K200" t="s">
        <v>57</v>
      </c>
      <c r="L200" t="s">
        <v>22</v>
      </c>
      <c r="M200">
        <f t="shared" si="9"/>
        <v>1</v>
      </c>
      <c r="N200" t="str">
        <f t="shared" si="10"/>
        <v>High</v>
      </c>
      <c r="O200">
        <f t="shared" si="11"/>
        <v>95</v>
      </c>
    </row>
    <row r="201" spans="1:15" x14ac:dyDescent="0.3">
      <c r="A201" t="s">
        <v>688</v>
      </c>
      <c r="B201" t="s">
        <v>256</v>
      </c>
      <c r="C201" t="s">
        <v>689</v>
      </c>
      <c r="D201" t="s">
        <v>690</v>
      </c>
      <c r="E201" t="s">
        <v>34</v>
      </c>
      <c r="F201">
        <v>14227</v>
      </c>
      <c r="G201" t="s">
        <v>35</v>
      </c>
      <c r="H201" t="s">
        <v>45</v>
      </c>
      <c r="I201" t="s">
        <v>19</v>
      </c>
      <c r="J201" t="s">
        <v>46</v>
      </c>
      <c r="K201" t="s">
        <v>69</v>
      </c>
      <c r="L201" t="s">
        <v>38</v>
      </c>
      <c r="M201">
        <f t="shared" si="9"/>
        <v>11</v>
      </c>
      <c r="N201" t="str">
        <f t="shared" si="10"/>
        <v>Low</v>
      </c>
      <c r="O201">
        <f t="shared" si="11"/>
        <v>30</v>
      </c>
    </row>
    <row r="202" spans="1:15" x14ac:dyDescent="0.3">
      <c r="A202" t="s">
        <v>691</v>
      </c>
      <c r="B202" t="s">
        <v>75</v>
      </c>
      <c r="C202" t="s">
        <v>692</v>
      </c>
      <c r="D202" t="s">
        <v>693</v>
      </c>
      <c r="E202" t="s">
        <v>62</v>
      </c>
      <c r="F202">
        <v>7698</v>
      </c>
      <c r="G202" t="s">
        <v>17</v>
      </c>
      <c r="H202" t="s">
        <v>18</v>
      </c>
      <c r="I202" t="s">
        <v>28</v>
      </c>
      <c r="J202" t="s">
        <v>46</v>
      </c>
      <c r="K202" t="s">
        <v>21</v>
      </c>
      <c r="L202" t="s">
        <v>38</v>
      </c>
      <c r="M202">
        <f t="shared" si="9"/>
        <v>21</v>
      </c>
      <c r="N202" t="str">
        <f t="shared" si="10"/>
        <v>Low</v>
      </c>
      <c r="O202">
        <f t="shared" si="11"/>
        <v>30</v>
      </c>
    </row>
    <row r="203" spans="1:15" x14ac:dyDescent="0.3">
      <c r="A203" t="s">
        <v>694</v>
      </c>
      <c r="B203" t="s">
        <v>695</v>
      </c>
      <c r="C203" t="s">
        <v>696</v>
      </c>
      <c r="D203" t="s">
        <v>272</v>
      </c>
      <c r="E203" t="s">
        <v>43</v>
      </c>
      <c r="F203">
        <v>5831</v>
      </c>
      <c r="G203" t="s">
        <v>68</v>
      </c>
      <c r="H203" t="s">
        <v>85</v>
      </c>
      <c r="I203" t="s">
        <v>28</v>
      </c>
      <c r="J203" t="s">
        <v>46</v>
      </c>
      <c r="K203" t="s">
        <v>21</v>
      </c>
      <c r="L203" t="s">
        <v>38</v>
      </c>
      <c r="M203">
        <f t="shared" si="9"/>
        <v>7</v>
      </c>
      <c r="N203" t="str">
        <f t="shared" si="10"/>
        <v>Low</v>
      </c>
      <c r="O203">
        <f t="shared" si="11"/>
        <v>30</v>
      </c>
    </row>
    <row r="204" spans="1:15" x14ac:dyDescent="0.3">
      <c r="A204" t="s">
        <v>697</v>
      </c>
      <c r="B204" t="s">
        <v>542</v>
      </c>
      <c r="C204" t="s">
        <v>698</v>
      </c>
      <c r="D204" t="s">
        <v>699</v>
      </c>
      <c r="E204" t="s">
        <v>94</v>
      </c>
      <c r="F204">
        <v>14508</v>
      </c>
      <c r="G204" t="s">
        <v>17</v>
      </c>
      <c r="H204" t="s">
        <v>36</v>
      </c>
      <c r="I204" t="s">
        <v>28</v>
      </c>
      <c r="J204" t="s">
        <v>46</v>
      </c>
      <c r="K204" t="s">
        <v>96</v>
      </c>
      <c r="L204" t="s">
        <v>38</v>
      </c>
      <c r="M204">
        <f t="shared" si="9"/>
        <v>14</v>
      </c>
      <c r="N204" t="str">
        <f t="shared" si="10"/>
        <v>Low</v>
      </c>
      <c r="O204">
        <f t="shared" si="11"/>
        <v>30</v>
      </c>
    </row>
    <row r="205" spans="1:15" x14ac:dyDescent="0.3">
      <c r="A205" t="s">
        <v>700</v>
      </c>
      <c r="B205" t="s">
        <v>377</v>
      </c>
      <c r="C205" t="s">
        <v>701</v>
      </c>
      <c r="D205" t="s">
        <v>702</v>
      </c>
      <c r="E205" t="s">
        <v>16</v>
      </c>
      <c r="F205">
        <v>3239</v>
      </c>
      <c r="G205" t="s">
        <v>79</v>
      </c>
      <c r="H205" t="s">
        <v>36</v>
      </c>
      <c r="I205" t="s">
        <v>28</v>
      </c>
      <c r="J205" t="s">
        <v>46</v>
      </c>
      <c r="K205" t="s">
        <v>69</v>
      </c>
      <c r="L205" t="s">
        <v>38</v>
      </c>
      <c r="M205">
        <f t="shared" si="9"/>
        <v>17</v>
      </c>
      <c r="N205" t="str">
        <f t="shared" si="10"/>
        <v>Low</v>
      </c>
      <c r="O205">
        <f t="shared" si="11"/>
        <v>60</v>
      </c>
    </row>
    <row r="206" spans="1:15" x14ac:dyDescent="0.3">
      <c r="A206" t="s">
        <v>703</v>
      </c>
      <c r="B206" t="s">
        <v>139</v>
      </c>
      <c r="C206" t="s">
        <v>704</v>
      </c>
      <c r="D206" t="s">
        <v>705</v>
      </c>
      <c r="E206" t="s">
        <v>78</v>
      </c>
      <c r="F206">
        <v>10261</v>
      </c>
      <c r="G206" t="s">
        <v>44</v>
      </c>
      <c r="H206" t="s">
        <v>45</v>
      </c>
      <c r="I206" t="s">
        <v>28</v>
      </c>
      <c r="J206" t="s">
        <v>20</v>
      </c>
      <c r="K206" t="s">
        <v>21</v>
      </c>
      <c r="L206" t="s">
        <v>38</v>
      </c>
      <c r="M206">
        <f t="shared" si="9"/>
        <v>9</v>
      </c>
      <c r="N206" t="str">
        <f t="shared" si="10"/>
        <v>Low</v>
      </c>
      <c r="O206">
        <f t="shared" si="11"/>
        <v>10</v>
      </c>
    </row>
    <row r="207" spans="1:15" x14ac:dyDescent="0.3">
      <c r="A207" t="s">
        <v>706</v>
      </c>
      <c r="B207" t="s">
        <v>707</v>
      </c>
      <c r="C207" t="s">
        <v>708</v>
      </c>
      <c r="D207" t="s">
        <v>284</v>
      </c>
      <c r="E207" t="s">
        <v>16</v>
      </c>
      <c r="F207">
        <v>8391</v>
      </c>
      <c r="G207" t="s">
        <v>44</v>
      </c>
      <c r="H207" t="s">
        <v>105</v>
      </c>
      <c r="I207" t="s">
        <v>19</v>
      </c>
      <c r="J207" t="s">
        <v>20</v>
      </c>
      <c r="K207" t="s">
        <v>80</v>
      </c>
      <c r="L207" t="s">
        <v>38</v>
      </c>
      <c r="M207">
        <f t="shared" si="9"/>
        <v>18</v>
      </c>
      <c r="N207" t="str">
        <f t="shared" si="10"/>
        <v>Low</v>
      </c>
      <c r="O207">
        <f t="shared" si="11"/>
        <v>40</v>
      </c>
    </row>
    <row r="208" spans="1:15" x14ac:dyDescent="0.3">
      <c r="A208" t="s">
        <v>709</v>
      </c>
      <c r="B208" t="s">
        <v>282</v>
      </c>
      <c r="C208" t="s">
        <v>710</v>
      </c>
      <c r="D208" t="s">
        <v>318</v>
      </c>
      <c r="E208" t="s">
        <v>78</v>
      </c>
      <c r="F208">
        <v>2490</v>
      </c>
      <c r="G208" t="s">
        <v>79</v>
      </c>
      <c r="H208" t="s">
        <v>45</v>
      </c>
      <c r="I208" t="s">
        <v>19</v>
      </c>
      <c r="J208" t="s">
        <v>46</v>
      </c>
      <c r="K208" t="s">
        <v>57</v>
      </c>
      <c r="L208" t="s">
        <v>38</v>
      </c>
      <c r="M208">
        <f t="shared" si="9"/>
        <v>22</v>
      </c>
      <c r="N208" t="str">
        <f t="shared" si="10"/>
        <v>Low</v>
      </c>
      <c r="O208">
        <f t="shared" si="11"/>
        <v>30</v>
      </c>
    </row>
    <row r="209" spans="1:15" x14ac:dyDescent="0.3">
      <c r="A209" t="s">
        <v>711</v>
      </c>
      <c r="B209" t="s">
        <v>172</v>
      </c>
      <c r="C209" t="s">
        <v>712</v>
      </c>
      <c r="D209" t="s">
        <v>457</v>
      </c>
      <c r="E209" t="s">
        <v>16</v>
      </c>
      <c r="F209">
        <v>8361</v>
      </c>
      <c r="G209" t="s">
        <v>68</v>
      </c>
      <c r="H209" t="s">
        <v>52</v>
      </c>
      <c r="I209" t="s">
        <v>28</v>
      </c>
      <c r="J209" t="s">
        <v>46</v>
      </c>
      <c r="K209" t="s">
        <v>69</v>
      </c>
      <c r="L209" t="s">
        <v>38</v>
      </c>
      <c r="M209">
        <f t="shared" si="9"/>
        <v>22</v>
      </c>
      <c r="N209" t="str">
        <f t="shared" si="10"/>
        <v>Low</v>
      </c>
      <c r="O209">
        <f t="shared" si="11"/>
        <v>60</v>
      </c>
    </row>
    <row r="210" spans="1:15" x14ac:dyDescent="0.3">
      <c r="A210" t="s">
        <v>713</v>
      </c>
      <c r="B210" t="s">
        <v>714</v>
      </c>
      <c r="C210" t="s">
        <v>715</v>
      </c>
      <c r="D210" t="s">
        <v>716</v>
      </c>
      <c r="E210" t="s">
        <v>16</v>
      </c>
      <c r="F210">
        <v>1845</v>
      </c>
      <c r="G210" t="s">
        <v>63</v>
      </c>
      <c r="H210" t="s">
        <v>105</v>
      </c>
      <c r="I210" t="s">
        <v>28</v>
      </c>
      <c r="J210" t="s">
        <v>46</v>
      </c>
      <c r="K210" t="s">
        <v>37</v>
      </c>
      <c r="L210" t="s">
        <v>38</v>
      </c>
      <c r="M210">
        <f t="shared" si="9"/>
        <v>19</v>
      </c>
      <c r="N210" t="str">
        <f t="shared" si="10"/>
        <v>Low</v>
      </c>
      <c r="O210">
        <f t="shared" si="11"/>
        <v>60</v>
      </c>
    </row>
    <row r="211" spans="1:15" x14ac:dyDescent="0.3">
      <c r="A211" t="s">
        <v>717</v>
      </c>
      <c r="B211" t="s">
        <v>718</v>
      </c>
      <c r="C211" t="s">
        <v>719</v>
      </c>
      <c r="D211" t="s">
        <v>218</v>
      </c>
      <c r="E211" t="s">
        <v>16</v>
      </c>
      <c r="F211">
        <v>11869</v>
      </c>
      <c r="G211" t="s">
        <v>63</v>
      </c>
      <c r="H211" t="s">
        <v>36</v>
      </c>
      <c r="I211" t="s">
        <v>19</v>
      </c>
      <c r="J211" t="s">
        <v>46</v>
      </c>
      <c r="K211" t="s">
        <v>69</v>
      </c>
      <c r="L211" t="s">
        <v>38</v>
      </c>
      <c r="M211">
        <f t="shared" si="9"/>
        <v>7</v>
      </c>
      <c r="N211" t="str">
        <f t="shared" si="10"/>
        <v>Low</v>
      </c>
      <c r="O211">
        <f t="shared" si="11"/>
        <v>60</v>
      </c>
    </row>
    <row r="212" spans="1:15" x14ac:dyDescent="0.3">
      <c r="A212" t="s">
        <v>720</v>
      </c>
      <c r="B212" t="s">
        <v>168</v>
      </c>
      <c r="C212" t="s">
        <v>721</v>
      </c>
      <c r="D212" t="s">
        <v>722</v>
      </c>
      <c r="E212" t="s">
        <v>16</v>
      </c>
      <c r="F212">
        <v>34404</v>
      </c>
      <c r="G212" t="s">
        <v>17</v>
      </c>
      <c r="H212" t="s">
        <v>45</v>
      </c>
      <c r="I212" t="s">
        <v>28</v>
      </c>
      <c r="J212" t="s">
        <v>20</v>
      </c>
      <c r="K212" t="s">
        <v>29</v>
      </c>
      <c r="L212" t="s">
        <v>22</v>
      </c>
      <c r="M212">
        <f t="shared" si="9"/>
        <v>1</v>
      </c>
      <c r="N212" t="str">
        <f t="shared" si="10"/>
        <v>High</v>
      </c>
      <c r="O212">
        <f t="shared" si="11"/>
        <v>95</v>
      </c>
    </row>
    <row r="213" spans="1:15" x14ac:dyDescent="0.3">
      <c r="A213" t="s">
        <v>723</v>
      </c>
      <c r="B213" t="s">
        <v>347</v>
      </c>
      <c r="C213" t="s">
        <v>724</v>
      </c>
      <c r="D213" t="s">
        <v>725</v>
      </c>
      <c r="E213" t="s">
        <v>34</v>
      </c>
      <c r="F213">
        <v>8271</v>
      </c>
      <c r="G213" t="s">
        <v>35</v>
      </c>
      <c r="H213" t="s">
        <v>105</v>
      </c>
      <c r="I213" t="s">
        <v>19</v>
      </c>
      <c r="J213" t="s">
        <v>95</v>
      </c>
      <c r="K213" t="s">
        <v>21</v>
      </c>
      <c r="L213" t="s">
        <v>38</v>
      </c>
      <c r="M213">
        <f t="shared" si="9"/>
        <v>21</v>
      </c>
      <c r="N213" t="str">
        <f t="shared" si="10"/>
        <v>Low</v>
      </c>
      <c r="O213">
        <f t="shared" si="11"/>
        <v>10</v>
      </c>
    </row>
    <row r="214" spans="1:15" x14ac:dyDescent="0.3">
      <c r="A214" t="s">
        <v>726</v>
      </c>
      <c r="B214" t="s">
        <v>727</v>
      </c>
      <c r="C214" t="s">
        <v>728</v>
      </c>
      <c r="D214" t="s">
        <v>729</v>
      </c>
      <c r="E214" t="s">
        <v>16</v>
      </c>
      <c r="F214">
        <v>10899</v>
      </c>
      <c r="G214" t="s">
        <v>44</v>
      </c>
      <c r="H214" t="s">
        <v>113</v>
      </c>
      <c r="I214" t="s">
        <v>28</v>
      </c>
      <c r="J214" t="s">
        <v>46</v>
      </c>
      <c r="K214" t="s">
        <v>21</v>
      </c>
      <c r="L214" t="s">
        <v>38</v>
      </c>
      <c r="M214">
        <f t="shared" si="9"/>
        <v>21</v>
      </c>
      <c r="N214" t="str">
        <f t="shared" si="10"/>
        <v>Low</v>
      </c>
      <c r="O214">
        <f t="shared" si="11"/>
        <v>60</v>
      </c>
    </row>
    <row r="215" spans="1:15" x14ac:dyDescent="0.3">
      <c r="A215" t="s">
        <v>730</v>
      </c>
      <c r="B215" t="s">
        <v>731</v>
      </c>
      <c r="C215" t="s">
        <v>426</v>
      </c>
      <c r="D215" t="s">
        <v>690</v>
      </c>
      <c r="E215" t="s">
        <v>16</v>
      </c>
      <c r="F215">
        <v>12698</v>
      </c>
      <c r="G215" t="s">
        <v>44</v>
      </c>
      <c r="H215" t="s">
        <v>27</v>
      </c>
      <c r="I215" t="s">
        <v>28</v>
      </c>
      <c r="J215" t="s">
        <v>46</v>
      </c>
      <c r="K215" t="s">
        <v>21</v>
      </c>
      <c r="L215" t="s">
        <v>38</v>
      </c>
      <c r="M215">
        <f t="shared" si="9"/>
        <v>14</v>
      </c>
      <c r="N215" t="str">
        <f t="shared" si="10"/>
        <v>Low</v>
      </c>
      <c r="O215">
        <f t="shared" si="11"/>
        <v>60</v>
      </c>
    </row>
    <row r="216" spans="1:15" x14ac:dyDescent="0.3">
      <c r="A216" t="s">
        <v>732</v>
      </c>
      <c r="B216" t="s">
        <v>507</v>
      </c>
      <c r="C216" t="s">
        <v>733</v>
      </c>
      <c r="D216" t="s">
        <v>288</v>
      </c>
      <c r="E216" t="s">
        <v>94</v>
      </c>
      <c r="F216">
        <v>4926</v>
      </c>
      <c r="G216" t="s">
        <v>44</v>
      </c>
      <c r="H216" t="s">
        <v>85</v>
      </c>
      <c r="I216" t="s">
        <v>28</v>
      </c>
      <c r="J216" t="s">
        <v>20</v>
      </c>
      <c r="K216" t="s">
        <v>57</v>
      </c>
      <c r="L216" t="s">
        <v>38</v>
      </c>
      <c r="M216">
        <f t="shared" si="9"/>
        <v>15</v>
      </c>
      <c r="N216" t="str">
        <f t="shared" si="10"/>
        <v>Low</v>
      </c>
      <c r="O216">
        <f t="shared" si="11"/>
        <v>10</v>
      </c>
    </row>
    <row r="217" spans="1:15" x14ac:dyDescent="0.3">
      <c r="A217" t="s">
        <v>734</v>
      </c>
      <c r="B217" t="s">
        <v>727</v>
      </c>
      <c r="C217" t="s">
        <v>735</v>
      </c>
      <c r="D217" t="s">
        <v>149</v>
      </c>
      <c r="E217" t="s">
        <v>62</v>
      </c>
      <c r="F217">
        <v>13081</v>
      </c>
      <c r="G217" t="s">
        <v>44</v>
      </c>
      <c r="H217" t="s">
        <v>36</v>
      </c>
      <c r="I217" t="s">
        <v>28</v>
      </c>
      <c r="J217" t="s">
        <v>20</v>
      </c>
      <c r="K217" t="s">
        <v>69</v>
      </c>
      <c r="L217" t="s">
        <v>38</v>
      </c>
      <c r="M217">
        <f t="shared" si="9"/>
        <v>14</v>
      </c>
      <c r="N217" t="str">
        <f t="shared" si="10"/>
        <v>Low</v>
      </c>
      <c r="O217">
        <f t="shared" si="11"/>
        <v>10</v>
      </c>
    </row>
    <row r="218" spans="1:15" x14ac:dyDescent="0.3">
      <c r="A218" t="s">
        <v>736</v>
      </c>
      <c r="B218" t="s">
        <v>547</v>
      </c>
      <c r="C218" t="s">
        <v>737</v>
      </c>
      <c r="D218" t="s">
        <v>246</v>
      </c>
      <c r="E218" t="s">
        <v>62</v>
      </c>
      <c r="F218">
        <v>4762</v>
      </c>
      <c r="G218" t="s">
        <v>35</v>
      </c>
      <c r="H218" t="s">
        <v>52</v>
      </c>
      <c r="I218" t="s">
        <v>28</v>
      </c>
      <c r="J218" t="s">
        <v>46</v>
      </c>
      <c r="K218" t="s">
        <v>29</v>
      </c>
      <c r="L218" t="s">
        <v>38</v>
      </c>
      <c r="M218">
        <f t="shared" si="9"/>
        <v>8</v>
      </c>
      <c r="N218" t="str">
        <f t="shared" si="10"/>
        <v>Low</v>
      </c>
      <c r="O218">
        <f t="shared" si="11"/>
        <v>30</v>
      </c>
    </row>
    <row r="219" spans="1:15" x14ac:dyDescent="0.3">
      <c r="A219" t="s">
        <v>738</v>
      </c>
      <c r="B219" t="s">
        <v>739</v>
      </c>
      <c r="C219" t="s">
        <v>740</v>
      </c>
      <c r="D219" t="s">
        <v>676</v>
      </c>
      <c r="E219" t="s">
        <v>78</v>
      </c>
      <c r="F219">
        <v>9258</v>
      </c>
      <c r="G219" t="s">
        <v>63</v>
      </c>
      <c r="H219" t="s">
        <v>27</v>
      </c>
      <c r="I219" t="s">
        <v>19</v>
      </c>
      <c r="J219" t="s">
        <v>20</v>
      </c>
      <c r="K219" t="s">
        <v>96</v>
      </c>
      <c r="L219" t="s">
        <v>38</v>
      </c>
      <c r="M219">
        <f t="shared" si="9"/>
        <v>14</v>
      </c>
      <c r="N219" t="str">
        <f t="shared" si="10"/>
        <v>Low</v>
      </c>
      <c r="O219">
        <f t="shared" si="11"/>
        <v>10</v>
      </c>
    </row>
    <row r="220" spans="1:15" x14ac:dyDescent="0.3">
      <c r="A220" t="s">
        <v>741</v>
      </c>
      <c r="B220" t="s">
        <v>742</v>
      </c>
      <c r="C220" t="s">
        <v>627</v>
      </c>
      <c r="D220" t="s">
        <v>667</v>
      </c>
      <c r="E220" t="s">
        <v>43</v>
      </c>
      <c r="F220">
        <v>3864</v>
      </c>
      <c r="G220" t="s">
        <v>35</v>
      </c>
      <c r="H220" t="s">
        <v>85</v>
      </c>
      <c r="I220" t="s">
        <v>19</v>
      </c>
      <c r="J220" t="s">
        <v>46</v>
      </c>
      <c r="K220" t="s">
        <v>80</v>
      </c>
      <c r="L220" t="s">
        <v>38</v>
      </c>
      <c r="M220">
        <f t="shared" si="9"/>
        <v>7</v>
      </c>
      <c r="N220" t="str">
        <f t="shared" si="10"/>
        <v>Low</v>
      </c>
      <c r="O220">
        <f t="shared" si="11"/>
        <v>30</v>
      </c>
    </row>
    <row r="221" spans="1:15" x14ac:dyDescent="0.3">
      <c r="A221" t="s">
        <v>743</v>
      </c>
      <c r="B221" t="s">
        <v>532</v>
      </c>
      <c r="C221" t="s">
        <v>275</v>
      </c>
      <c r="D221" t="s">
        <v>744</v>
      </c>
      <c r="E221" t="s">
        <v>94</v>
      </c>
      <c r="F221">
        <v>2637</v>
      </c>
      <c r="G221" t="s">
        <v>44</v>
      </c>
      <c r="H221" t="s">
        <v>27</v>
      </c>
      <c r="I221" t="s">
        <v>28</v>
      </c>
      <c r="J221" t="s">
        <v>46</v>
      </c>
      <c r="K221" t="s">
        <v>37</v>
      </c>
      <c r="L221" t="s">
        <v>38</v>
      </c>
      <c r="M221">
        <f t="shared" si="9"/>
        <v>19</v>
      </c>
      <c r="N221" t="str">
        <f t="shared" si="10"/>
        <v>Low</v>
      </c>
      <c r="O221">
        <f t="shared" si="11"/>
        <v>30</v>
      </c>
    </row>
    <row r="222" spans="1:15" x14ac:dyDescent="0.3">
      <c r="A222" t="s">
        <v>745</v>
      </c>
      <c r="B222" t="s">
        <v>626</v>
      </c>
      <c r="C222" t="s">
        <v>746</v>
      </c>
      <c r="D222" t="s">
        <v>178</v>
      </c>
      <c r="E222" t="s">
        <v>16</v>
      </c>
      <c r="F222">
        <v>31725</v>
      </c>
      <c r="G222" t="s">
        <v>35</v>
      </c>
      <c r="H222" t="s">
        <v>105</v>
      </c>
      <c r="I222" t="s">
        <v>19</v>
      </c>
      <c r="J222" t="s">
        <v>20</v>
      </c>
      <c r="K222" t="s">
        <v>57</v>
      </c>
      <c r="L222" t="s">
        <v>22</v>
      </c>
      <c r="M222">
        <f t="shared" si="9"/>
        <v>23</v>
      </c>
      <c r="N222" t="str">
        <f t="shared" si="10"/>
        <v>High</v>
      </c>
      <c r="O222">
        <f t="shared" si="11"/>
        <v>80</v>
      </c>
    </row>
    <row r="223" spans="1:15" x14ac:dyDescent="0.3">
      <c r="A223" t="s">
        <v>747</v>
      </c>
      <c r="B223" t="s">
        <v>748</v>
      </c>
      <c r="C223" t="s">
        <v>749</v>
      </c>
      <c r="D223" t="s">
        <v>241</v>
      </c>
      <c r="E223" t="s">
        <v>78</v>
      </c>
      <c r="F223">
        <v>6554</v>
      </c>
      <c r="G223" t="s">
        <v>44</v>
      </c>
      <c r="H223" t="s">
        <v>52</v>
      </c>
      <c r="I223" t="s">
        <v>19</v>
      </c>
      <c r="J223" t="s">
        <v>95</v>
      </c>
      <c r="K223" t="s">
        <v>96</v>
      </c>
      <c r="L223" t="s">
        <v>38</v>
      </c>
      <c r="M223">
        <f t="shared" si="9"/>
        <v>21</v>
      </c>
      <c r="N223" t="str">
        <f t="shared" si="10"/>
        <v>Low</v>
      </c>
      <c r="O223">
        <f t="shared" si="11"/>
        <v>10</v>
      </c>
    </row>
    <row r="224" spans="1:15" x14ac:dyDescent="0.3">
      <c r="A224" t="s">
        <v>750</v>
      </c>
      <c r="B224" t="s">
        <v>156</v>
      </c>
      <c r="C224" t="s">
        <v>751</v>
      </c>
      <c r="D224" t="s">
        <v>211</v>
      </c>
      <c r="E224" t="s">
        <v>51</v>
      </c>
      <c r="F224">
        <v>5539</v>
      </c>
      <c r="G224" t="s">
        <v>79</v>
      </c>
      <c r="H224" t="s">
        <v>85</v>
      </c>
      <c r="I224" t="s">
        <v>19</v>
      </c>
      <c r="J224" t="s">
        <v>95</v>
      </c>
      <c r="K224" t="s">
        <v>69</v>
      </c>
      <c r="L224" t="s">
        <v>38</v>
      </c>
      <c r="M224">
        <f t="shared" si="9"/>
        <v>15</v>
      </c>
      <c r="N224" t="str">
        <f t="shared" si="10"/>
        <v>Low</v>
      </c>
      <c r="O224">
        <f t="shared" si="11"/>
        <v>10</v>
      </c>
    </row>
    <row r="225" spans="1:15" x14ac:dyDescent="0.3">
      <c r="A225" t="s">
        <v>752</v>
      </c>
      <c r="B225" t="s">
        <v>686</v>
      </c>
      <c r="C225" t="s">
        <v>753</v>
      </c>
      <c r="D225" t="s">
        <v>693</v>
      </c>
      <c r="E225" t="s">
        <v>62</v>
      </c>
      <c r="F225">
        <v>13301</v>
      </c>
      <c r="G225" t="s">
        <v>35</v>
      </c>
      <c r="H225" t="s">
        <v>85</v>
      </c>
      <c r="I225" t="s">
        <v>28</v>
      </c>
      <c r="J225" t="s">
        <v>20</v>
      </c>
      <c r="K225" t="s">
        <v>80</v>
      </c>
      <c r="L225" t="s">
        <v>38</v>
      </c>
      <c r="M225">
        <f t="shared" si="9"/>
        <v>9</v>
      </c>
      <c r="N225" t="str">
        <f t="shared" si="10"/>
        <v>Low</v>
      </c>
      <c r="O225">
        <f t="shared" si="11"/>
        <v>10</v>
      </c>
    </row>
    <row r="226" spans="1:15" x14ac:dyDescent="0.3">
      <c r="A226" t="s">
        <v>754</v>
      </c>
      <c r="B226" t="s">
        <v>755</v>
      </c>
      <c r="C226" t="s">
        <v>756</v>
      </c>
      <c r="D226" t="s">
        <v>320</v>
      </c>
      <c r="E226" t="s">
        <v>16</v>
      </c>
      <c r="F226">
        <v>13005</v>
      </c>
      <c r="G226" t="s">
        <v>63</v>
      </c>
      <c r="H226" t="s">
        <v>27</v>
      </c>
      <c r="I226" t="s">
        <v>19</v>
      </c>
      <c r="J226" t="s">
        <v>95</v>
      </c>
      <c r="K226" t="s">
        <v>21</v>
      </c>
      <c r="L226" t="s">
        <v>38</v>
      </c>
      <c r="M226">
        <f t="shared" si="9"/>
        <v>15</v>
      </c>
      <c r="N226" t="str">
        <f t="shared" si="10"/>
        <v>Low</v>
      </c>
      <c r="O226">
        <f t="shared" si="11"/>
        <v>40</v>
      </c>
    </row>
    <row r="227" spans="1:15" x14ac:dyDescent="0.3">
      <c r="A227" t="s">
        <v>757</v>
      </c>
      <c r="B227" t="s">
        <v>641</v>
      </c>
      <c r="C227" t="s">
        <v>758</v>
      </c>
      <c r="D227" t="s">
        <v>759</v>
      </c>
      <c r="E227" t="s">
        <v>43</v>
      </c>
      <c r="F227">
        <v>8492</v>
      </c>
      <c r="G227" t="s">
        <v>17</v>
      </c>
      <c r="H227" t="s">
        <v>18</v>
      </c>
      <c r="I227" t="s">
        <v>19</v>
      </c>
      <c r="J227" t="s">
        <v>46</v>
      </c>
      <c r="K227" t="s">
        <v>29</v>
      </c>
      <c r="L227" t="s">
        <v>38</v>
      </c>
      <c r="M227">
        <f t="shared" si="9"/>
        <v>16</v>
      </c>
      <c r="N227" t="str">
        <f t="shared" si="10"/>
        <v>Low</v>
      </c>
      <c r="O227">
        <f t="shared" si="11"/>
        <v>30</v>
      </c>
    </row>
    <row r="228" spans="1:15" x14ac:dyDescent="0.3">
      <c r="A228" t="s">
        <v>760</v>
      </c>
      <c r="B228" t="s">
        <v>360</v>
      </c>
      <c r="C228" t="s">
        <v>761</v>
      </c>
      <c r="D228" t="s">
        <v>320</v>
      </c>
      <c r="E228" t="s">
        <v>51</v>
      </c>
      <c r="F228">
        <v>161</v>
      </c>
      <c r="G228" t="s">
        <v>79</v>
      </c>
      <c r="H228" t="s">
        <v>52</v>
      </c>
      <c r="I228" t="s">
        <v>28</v>
      </c>
      <c r="J228" t="s">
        <v>20</v>
      </c>
      <c r="K228" t="s">
        <v>37</v>
      </c>
      <c r="L228" t="s">
        <v>38</v>
      </c>
      <c r="M228">
        <f t="shared" si="9"/>
        <v>14</v>
      </c>
      <c r="N228" t="str">
        <f t="shared" si="10"/>
        <v>Low</v>
      </c>
      <c r="O228">
        <f t="shared" si="11"/>
        <v>10</v>
      </c>
    </row>
    <row r="229" spans="1:15" x14ac:dyDescent="0.3">
      <c r="A229" t="s">
        <v>762</v>
      </c>
      <c r="B229" t="s">
        <v>763</v>
      </c>
      <c r="C229" t="s">
        <v>764</v>
      </c>
      <c r="D229" t="s">
        <v>298</v>
      </c>
      <c r="E229" t="s">
        <v>16</v>
      </c>
      <c r="F229">
        <v>67127</v>
      </c>
      <c r="G229" t="s">
        <v>35</v>
      </c>
      <c r="H229" t="s">
        <v>18</v>
      </c>
      <c r="I229" t="s">
        <v>28</v>
      </c>
      <c r="J229" t="s">
        <v>20</v>
      </c>
      <c r="K229" t="s">
        <v>37</v>
      </c>
      <c r="L229" t="s">
        <v>22</v>
      </c>
      <c r="M229">
        <f t="shared" si="9"/>
        <v>1</v>
      </c>
      <c r="N229" t="str">
        <f t="shared" si="10"/>
        <v>High</v>
      </c>
      <c r="O229">
        <f t="shared" si="11"/>
        <v>95</v>
      </c>
    </row>
    <row r="230" spans="1:15" x14ac:dyDescent="0.3">
      <c r="A230" t="s">
        <v>765</v>
      </c>
      <c r="B230" t="s">
        <v>641</v>
      </c>
      <c r="C230" t="s">
        <v>766</v>
      </c>
      <c r="D230" t="s">
        <v>517</v>
      </c>
      <c r="E230" t="s">
        <v>94</v>
      </c>
      <c r="F230">
        <v>14715</v>
      </c>
      <c r="G230" t="s">
        <v>35</v>
      </c>
      <c r="H230" t="s">
        <v>52</v>
      </c>
      <c r="I230" t="s">
        <v>28</v>
      </c>
      <c r="J230" t="s">
        <v>20</v>
      </c>
      <c r="K230" t="s">
        <v>21</v>
      </c>
      <c r="L230" t="s">
        <v>38</v>
      </c>
      <c r="M230">
        <f t="shared" si="9"/>
        <v>15</v>
      </c>
      <c r="N230" t="str">
        <f t="shared" si="10"/>
        <v>Low</v>
      </c>
      <c r="O230">
        <f t="shared" si="11"/>
        <v>10</v>
      </c>
    </row>
    <row r="231" spans="1:15" x14ac:dyDescent="0.3">
      <c r="A231" t="s">
        <v>767</v>
      </c>
      <c r="B231" t="s">
        <v>768</v>
      </c>
      <c r="C231" t="s">
        <v>769</v>
      </c>
      <c r="D231" t="s">
        <v>699</v>
      </c>
      <c r="E231" t="s">
        <v>51</v>
      </c>
      <c r="F231">
        <v>7884</v>
      </c>
      <c r="G231" t="s">
        <v>79</v>
      </c>
      <c r="H231" t="s">
        <v>45</v>
      </c>
      <c r="I231" t="s">
        <v>28</v>
      </c>
      <c r="J231" t="s">
        <v>95</v>
      </c>
      <c r="K231" t="s">
        <v>80</v>
      </c>
      <c r="L231" t="s">
        <v>38</v>
      </c>
      <c r="M231">
        <f t="shared" si="9"/>
        <v>10</v>
      </c>
      <c r="N231" t="str">
        <f t="shared" si="10"/>
        <v>Low</v>
      </c>
      <c r="O231">
        <f t="shared" si="11"/>
        <v>10</v>
      </c>
    </row>
    <row r="232" spans="1:15" x14ac:dyDescent="0.3">
      <c r="A232" t="s">
        <v>770</v>
      </c>
      <c r="B232" t="s">
        <v>198</v>
      </c>
      <c r="C232" t="s">
        <v>771</v>
      </c>
      <c r="D232" t="s">
        <v>772</v>
      </c>
      <c r="E232" t="s">
        <v>34</v>
      </c>
      <c r="F232">
        <v>13189</v>
      </c>
      <c r="G232" t="s">
        <v>63</v>
      </c>
      <c r="H232" t="s">
        <v>18</v>
      </c>
      <c r="I232" t="s">
        <v>28</v>
      </c>
      <c r="J232" t="s">
        <v>20</v>
      </c>
      <c r="K232" t="s">
        <v>21</v>
      </c>
      <c r="L232" t="s">
        <v>38</v>
      </c>
      <c r="M232">
        <f t="shared" si="9"/>
        <v>12</v>
      </c>
      <c r="N232" t="str">
        <f t="shared" si="10"/>
        <v>Low</v>
      </c>
      <c r="O232">
        <f t="shared" si="11"/>
        <v>10</v>
      </c>
    </row>
    <row r="233" spans="1:15" x14ac:dyDescent="0.3">
      <c r="A233" t="s">
        <v>773</v>
      </c>
      <c r="B233" t="s">
        <v>296</v>
      </c>
      <c r="C233" t="s">
        <v>774</v>
      </c>
      <c r="D233" t="s">
        <v>775</v>
      </c>
      <c r="E233" t="s">
        <v>16</v>
      </c>
      <c r="F233">
        <v>34707</v>
      </c>
      <c r="G233" t="s">
        <v>79</v>
      </c>
      <c r="H233" t="s">
        <v>113</v>
      </c>
      <c r="I233" t="s">
        <v>19</v>
      </c>
      <c r="J233" t="s">
        <v>20</v>
      </c>
      <c r="K233" t="s">
        <v>37</v>
      </c>
      <c r="L233" t="s">
        <v>22</v>
      </c>
      <c r="M233">
        <f t="shared" si="9"/>
        <v>0</v>
      </c>
      <c r="N233" t="str">
        <f t="shared" si="10"/>
        <v>High</v>
      </c>
      <c r="O233">
        <f t="shared" si="11"/>
        <v>95</v>
      </c>
    </row>
    <row r="234" spans="1:15" x14ac:dyDescent="0.3">
      <c r="A234" t="s">
        <v>776</v>
      </c>
      <c r="B234" t="s">
        <v>184</v>
      </c>
      <c r="C234" t="s">
        <v>777</v>
      </c>
      <c r="D234" t="s">
        <v>476</v>
      </c>
      <c r="E234" t="s">
        <v>16</v>
      </c>
      <c r="F234">
        <v>46922</v>
      </c>
      <c r="G234" t="s">
        <v>35</v>
      </c>
      <c r="H234" t="s">
        <v>85</v>
      </c>
      <c r="I234" t="s">
        <v>19</v>
      </c>
      <c r="J234" t="s">
        <v>46</v>
      </c>
      <c r="K234" t="s">
        <v>57</v>
      </c>
      <c r="L234" t="s">
        <v>22</v>
      </c>
      <c r="M234">
        <f t="shared" si="9"/>
        <v>23</v>
      </c>
      <c r="N234" t="str">
        <f t="shared" si="10"/>
        <v>High</v>
      </c>
      <c r="O234">
        <f t="shared" si="11"/>
        <v>100</v>
      </c>
    </row>
    <row r="235" spans="1:15" x14ac:dyDescent="0.3">
      <c r="A235" t="s">
        <v>778</v>
      </c>
      <c r="B235" t="s">
        <v>373</v>
      </c>
      <c r="C235" t="s">
        <v>779</v>
      </c>
      <c r="D235" t="s">
        <v>628</v>
      </c>
      <c r="E235" t="s">
        <v>16</v>
      </c>
      <c r="F235">
        <v>9289</v>
      </c>
      <c r="G235" t="s">
        <v>44</v>
      </c>
      <c r="H235" t="s">
        <v>52</v>
      </c>
      <c r="I235" t="s">
        <v>19</v>
      </c>
      <c r="J235" t="s">
        <v>46</v>
      </c>
      <c r="K235" t="s">
        <v>57</v>
      </c>
      <c r="L235" t="s">
        <v>38</v>
      </c>
      <c r="M235">
        <f t="shared" si="9"/>
        <v>7</v>
      </c>
      <c r="N235" t="str">
        <f t="shared" si="10"/>
        <v>Low</v>
      </c>
      <c r="O235">
        <f t="shared" si="11"/>
        <v>60</v>
      </c>
    </row>
    <row r="236" spans="1:15" x14ac:dyDescent="0.3">
      <c r="A236" t="s">
        <v>780</v>
      </c>
      <c r="B236" t="s">
        <v>781</v>
      </c>
      <c r="C236" t="s">
        <v>203</v>
      </c>
      <c r="D236" t="s">
        <v>335</v>
      </c>
      <c r="E236" t="s">
        <v>43</v>
      </c>
      <c r="F236">
        <v>9525</v>
      </c>
      <c r="G236" t="s">
        <v>17</v>
      </c>
      <c r="H236" t="s">
        <v>18</v>
      </c>
      <c r="I236" t="s">
        <v>19</v>
      </c>
      <c r="J236" t="s">
        <v>46</v>
      </c>
      <c r="K236" t="s">
        <v>96</v>
      </c>
      <c r="L236" t="s">
        <v>38</v>
      </c>
      <c r="M236">
        <f t="shared" si="9"/>
        <v>8</v>
      </c>
      <c r="N236" t="str">
        <f t="shared" si="10"/>
        <v>Low</v>
      </c>
      <c r="O236">
        <f t="shared" si="11"/>
        <v>30</v>
      </c>
    </row>
    <row r="237" spans="1:15" x14ac:dyDescent="0.3">
      <c r="A237" t="s">
        <v>782</v>
      </c>
      <c r="B237" t="s">
        <v>24</v>
      </c>
      <c r="C237" t="s">
        <v>783</v>
      </c>
      <c r="D237" t="s">
        <v>784</v>
      </c>
      <c r="E237" t="s">
        <v>34</v>
      </c>
      <c r="F237">
        <v>2998</v>
      </c>
      <c r="G237" t="s">
        <v>17</v>
      </c>
      <c r="H237" t="s">
        <v>36</v>
      </c>
      <c r="I237" t="s">
        <v>28</v>
      </c>
      <c r="J237" t="s">
        <v>95</v>
      </c>
      <c r="K237" t="s">
        <v>57</v>
      </c>
      <c r="L237" t="s">
        <v>38</v>
      </c>
      <c r="M237">
        <f t="shared" si="9"/>
        <v>10</v>
      </c>
      <c r="N237" t="str">
        <f t="shared" si="10"/>
        <v>Low</v>
      </c>
      <c r="O237">
        <f t="shared" si="11"/>
        <v>10</v>
      </c>
    </row>
    <row r="238" spans="1:15" x14ac:dyDescent="0.3">
      <c r="A238" t="s">
        <v>785</v>
      </c>
      <c r="B238" t="s">
        <v>786</v>
      </c>
      <c r="C238" t="s">
        <v>787</v>
      </c>
      <c r="D238" t="s">
        <v>651</v>
      </c>
      <c r="E238" t="s">
        <v>94</v>
      </c>
      <c r="F238">
        <v>11235</v>
      </c>
      <c r="G238" t="s">
        <v>35</v>
      </c>
      <c r="H238" t="s">
        <v>113</v>
      </c>
      <c r="I238" t="s">
        <v>28</v>
      </c>
      <c r="J238" t="s">
        <v>46</v>
      </c>
      <c r="K238" t="s">
        <v>21</v>
      </c>
      <c r="L238" t="s">
        <v>38</v>
      </c>
      <c r="M238">
        <f t="shared" si="9"/>
        <v>10</v>
      </c>
      <c r="N238" t="str">
        <f t="shared" si="10"/>
        <v>Low</v>
      </c>
      <c r="O238">
        <f t="shared" si="11"/>
        <v>30</v>
      </c>
    </row>
    <row r="239" spans="1:15" x14ac:dyDescent="0.3">
      <c r="A239" t="s">
        <v>788</v>
      </c>
      <c r="B239" t="s">
        <v>507</v>
      </c>
      <c r="C239" t="s">
        <v>789</v>
      </c>
      <c r="D239" t="s">
        <v>327</v>
      </c>
      <c r="E239" t="s">
        <v>62</v>
      </c>
      <c r="F239">
        <v>12439</v>
      </c>
      <c r="G239" t="s">
        <v>35</v>
      </c>
      <c r="H239" t="s">
        <v>36</v>
      </c>
      <c r="I239" t="s">
        <v>28</v>
      </c>
      <c r="J239" t="s">
        <v>46</v>
      </c>
      <c r="K239" t="s">
        <v>69</v>
      </c>
      <c r="L239" t="s">
        <v>38</v>
      </c>
      <c r="M239">
        <f t="shared" si="9"/>
        <v>6</v>
      </c>
      <c r="N239" t="str">
        <f t="shared" si="10"/>
        <v>Low</v>
      </c>
      <c r="O239">
        <f t="shared" si="11"/>
        <v>30</v>
      </c>
    </row>
    <row r="240" spans="1:15" x14ac:dyDescent="0.3">
      <c r="A240" t="s">
        <v>790</v>
      </c>
      <c r="B240" t="s">
        <v>190</v>
      </c>
      <c r="C240" t="s">
        <v>698</v>
      </c>
      <c r="D240" t="s">
        <v>174</v>
      </c>
      <c r="E240" t="s">
        <v>78</v>
      </c>
      <c r="F240">
        <v>2591</v>
      </c>
      <c r="G240" t="s">
        <v>63</v>
      </c>
      <c r="H240" t="s">
        <v>18</v>
      </c>
      <c r="I240" t="s">
        <v>19</v>
      </c>
      <c r="J240" t="s">
        <v>95</v>
      </c>
      <c r="K240" t="s">
        <v>69</v>
      </c>
      <c r="L240" t="s">
        <v>38</v>
      </c>
      <c r="M240">
        <f t="shared" si="9"/>
        <v>14</v>
      </c>
      <c r="N240" t="str">
        <f t="shared" si="10"/>
        <v>Low</v>
      </c>
      <c r="O240">
        <f t="shared" si="11"/>
        <v>10</v>
      </c>
    </row>
    <row r="241" spans="1:15" x14ac:dyDescent="0.3">
      <c r="A241" t="s">
        <v>791</v>
      </c>
      <c r="B241" t="s">
        <v>256</v>
      </c>
      <c r="C241" t="s">
        <v>792</v>
      </c>
      <c r="D241" t="s">
        <v>112</v>
      </c>
      <c r="E241" t="s">
        <v>78</v>
      </c>
      <c r="F241">
        <v>14529</v>
      </c>
      <c r="G241" t="s">
        <v>79</v>
      </c>
      <c r="H241" t="s">
        <v>18</v>
      </c>
      <c r="I241" t="s">
        <v>19</v>
      </c>
      <c r="J241" t="s">
        <v>20</v>
      </c>
      <c r="K241" t="s">
        <v>57</v>
      </c>
      <c r="L241" t="s">
        <v>38</v>
      </c>
      <c r="M241">
        <f t="shared" si="9"/>
        <v>6</v>
      </c>
      <c r="N241" t="str">
        <f t="shared" si="10"/>
        <v>Low</v>
      </c>
      <c r="O241">
        <f t="shared" si="11"/>
        <v>10</v>
      </c>
    </row>
    <row r="242" spans="1:15" x14ac:dyDescent="0.3">
      <c r="A242" t="s">
        <v>793</v>
      </c>
      <c r="B242" t="s">
        <v>230</v>
      </c>
      <c r="C242" t="s">
        <v>794</v>
      </c>
      <c r="D242" t="s">
        <v>371</v>
      </c>
      <c r="E242" t="s">
        <v>94</v>
      </c>
      <c r="F242">
        <v>847</v>
      </c>
      <c r="G242" t="s">
        <v>35</v>
      </c>
      <c r="H242" t="s">
        <v>85</v>
      </c>
      <c r="I242" t="s">
        <v>19</v>
      </c>
      <c r="J242" t="s">
        <v>20</v>
      </c>
      <c r="K242" t="s">
        <v>21</v>
      </c>
      <c r="L242" t="s">
        <v>38</v>
      </c>
      <c r="M242">
        <f t="shared" si="9"/>
        <v>13</v>
      </c>
      <c r="N242" t="str">
        <f t="shared" si="10"/>
        <v>Low</v>
      </c>
      <c r="O242">
        <f t="shared" si="11"/>
        <v>10</v>
      </c>
    </row>
    <row r="243" spans="1:15" x14ac:dyDescent="0.3">
      <c r="A243" t="s">
        <v>795</v>
      </c>
      <c r="B243" t="s">
        <v>416</v>
      </c>
      <c r="C243" t="s">
        <v>796</v>
      </c>
      <c r="D243" t="s">
        <v>331</v>
      </c>
      <c r="E243" t="s">
        <v>16</v>
      </c>
      <c r="F243">
        <v>57914</v>
      </c>
      <c r="G243" t="s">
        <v>35</v>
      </c>
      <c r="H243" t="s">
        <v>45</v>
      </c>
      <c r="I243" t="s">
        <v>19</v>
      </c>
      <c r="J243" t="s">
        <v>46</v>
      </c>
      <c r="K243" t="s">
        <v>37</v>
      </c>
      <c r="L243" t="s">
        <v>22</v>
      </c>
      <c r="M243">
        <f t="shared" si="9"/>
        <v>1</v>
      </c>
      <c r="N243" t="str">
        <f t="shared" si="10"/>
        <v>High</v>
      </c>
      <c r="O243">
        <f t="shared" si="11"/>
        <v>115</v>
      </c>
    </row>
    <row r="244" spans="1:15" x14ac:dyDescent="0.3">
      <c r="A244" t="s">
        <v>797</v>
      </c>
      <c r="B244" t="s">
        <v>522</v>
      </c>
      <c r="C244" t="s">
        <v>798</v>
      </c>
      <c r="D244" t="s">
        <v>729</v>
      </c>
      <c r="E244" t="s">
        <v>62</v>
      </c>
      <c r="F244">
        <v>6825</v>
      </c>
      <c r="G244" t="s">
        <v>17</v>
      </c>
      <c r="H244" t="s">
        <v>113</v>
      </c>
      <c r="I244" t="s">
        <v>28</v>
      </c>
      <c r="J244" t="s">
        <v>20</v>
      </c>
      <c r="K244" t="s">
        <v>21</v>
      </c>
      <c r="L244" t="s">
        <v>38</v>
      </c>
      <c r="M244">
        <f t="shared" si="9"/>
        <v>15</v>
      </c>
      <c r="N244" t="str">
        <f t="shared" si="10"/>
        <v>Low</v>
      </c>
      <c r="O244">
        <f t="shared" si="11"/>
        <v>10</v>
      </c>
    </row>
    <row r="245" spans="1:15" x14ac:dyDescent="0.3">
      <c r="A245" t="s">
        <v>799</v>
      </c>
      <c r="B245" t="s">
        <v>606</v>
      </c>
      <c r="C245" t="s">
        <v>800</v>
      </c>
      <c r="D245" t="s">
        <v>690</v>
      </c>
      <c r="E245" t="s">
        <v>34</v>
      </c>
      <c r="F245">
        <v>10590</v>
      </c>
      <c r="G245" t="s">
        <v>44</v>
      </c>
      <c r="H245" t="s">
        <v>36</v>
      </c>
      <c r="I245" t="s">
        <v>28</v>
      </c>
      <c r="J245" t="s">
        <v>95</v>
      </c>
      <c r="K245" t="s">
        <v>29</v>
      </c>
      <c r="L245" t="s">
        <v>38</v>
      </c>
      <c r="M245">
        <f t="shared" si="9"/>
        <v>18</v>
      </c>
      <c r="N245" t="str">
        <f t="shared" si="10"/>
        <v>Low</v>
      </c>
      <c r="O245">
        <f t="shared" si="11"/>
        <v>10</v>
      </c>
    </row>
    <row r="246" spans="1:15" x14ac:dyDescent="0.3">
      <c r="A246" t="s">
        <v>801</v>
      </c>
      <c r="B246" t="s">
        <v>786</v>
      </c>
      <c r="C246" t="s">
        <v>527</v>
      </c>
      <c r="D246" t="s">
        <v>358</v>
      </c>
      <c r="E246" t="s">
        <v>78</v>
      </c>
      <c r="F246">
        <v>8863</v>
      </c>
      <c r="G246" t="s">
        <v>79</v>
      </c>
      <c r="H246" t="s">
        <v>113</v>
      </c>
      <c r="I246" t="s">
        <v>28</v>
      </c>
      <c r="J246" t="s">
        <v>20</v>
      </c>
      <c r="K246" t="s">
        <v>96</v>
      </c>
      <c r="L246" t="s">
        <v>38</v>
      </c>
      <c r="M246">
        <f t="shared" si="9"/>
        <v>21</v>
      </c>
      <c r="N246" t="str">
        <f t="shared" si="10"/>
        <v>Low</v>
      </c>
      <c r="O246">
        <f t="shared" si="11"/>
        <v>10</v>
      </c>
    </row>
    <row r="247" spans="1:15" x14ac:dyDescent="0.3">
      <c r="A247" t="s">
        <v>802</v>
      </c>
      <c r="B247" t="s">
        <v>194</v>
      </c>
      <c r="C247" t="s">
        <v>245</v>
      </c>
      <c r="D247" t="s">
        <v>759</v>
      </c>
      <c r="E247" t="s">
        <v>78</v>
      </c>
      <c r="F247">
        <v>9180</v>
      </c>
      <c r="G247" t="s">
        <v>63</v>
      </c>
      <c r="H247" t="s">
        <v>52</v>
      </c>
      <c r="I247" t="s">
        <v>19</v>
      </c>
      <c r="J247" t="s">
        <v>46</v>
      </c>
      <c r="K247" t="s">
        <v>37</v>
      </c>
      <c r="L247" t="s">
        <v>38</v>
      </c>
      <c r="M247">
        <f t="shared" si="9"/>
        <v>22</v>
      </c>
      <c r="N247" t="str">
        <f t="shared" si="10"/>
        <v>Low</v>
      </c>
      <c r="O247">
        <f t="shared" si="11"/>
        <v>30</v>
      </c>
    </row>
    <row r="248" spans="1:15" x14ac:dyDescent="0.3">
      <c r="A248" t="s">
        <v>803</v>
      </c>
      <c r="B248" t="s">
        <v>420</v>
      </c>
      <c r="C248" t="s">
        <v>804</v>
      </c>
      <c r="D248" t="s">
        <v>805</v>
      </c>
      <c r="E248" t="s">
        <v>43</v>
      </c>
      <c r="F248">
        <v>13929</v>
      </c>
      <c r="G248" t="s">
        <v>17</v>
      </c>
      <c r="H248" t="s">
        <v>27</v>
      </c>
      <c r="I248" t="s">
        <v>19</v>
      </c>
      <c r="J248" t="s">
        <v>95</v>
      </c>
      <c r="K248" t="s">
        <v>37</v>
      </c>
      <c r="L248" t="s">
        <v>38</v>
      </c>
      <c r="M248">
        <f t="shared" si="9"/>
        <v>17</v>
      </c>
      <c r="N248" t="str">
        <f t="shared" si="10"/>
        <v>Low</v>
      </c>
      <c r="O248">
        <f t="shared" si="11"/>
        <v>10</v>
      </c>
    </row>
    <row r="249" spans="1:15" x14ac:dyDescent="0.3">
      <c r="A249" t="s">
        <v>806</v>
      </c>
      <c r="B249" t="s">
        <v>230</v>
      </c>
      <c r="C249" t="s">
        <v>807</v>
      </c>
      <c r="D249" t="s">
        <v>406</v>
      </c>
      <c r="E249" t="s">
        <v>78</v>
      </c>
      <c r="F249">
        <v>697</v>
      </c>
      <c r="G249" t="s">
        <v>44</v>
      </c>
      <c r="H249" t="s">
        <v>27</v>
      </c>
      <c r="I249" t="s">
        <v>28</v>
      </c>
      <c r="J249" t="s">
        <v>95</v>
      </c>
      <c r="K249" t="s">
        <v>29</v>
      </c>
      <c r="L249" t="s">
        <v>38</v>
      </c>
      <c r="M249">
        <f t="shared" si="9"/>
        <v>8</v>
      </c>
      <c r="N249" t="str">
        <f t="shared" si="10"/>
        <v>Low</v>
      </c>
      <c r="O249">
        <f t="shared" si="11"/>
        <v>10</v>
      </c>
    </row>
    <row r="250" spans="1:15" x14ac:dyDescent="0.3">
      <c r="A250" t="s">
        <v>808</v>
      </c>
      <c r="B250" t="s">
        <v>337</v>
      </c>
      <c r="C250" t="s">
        <v>809</v>
      </c>
      <c r="D250" t="s">
        <v>406</v>
      </c>
      <c r="E250" t="s">
        <v>78</v>
      </c>
      <c r="F250">
        <v>301</v>
      </c>
      <c r="G250" t="s">
        <v>79</v>
      </c>
      <c r="H250" t="s">
        <v>85</v>
      </c>
      <c r="I250" t="s">
        <v>19</v>
      </c>
      <c r="J250" t="s">
        <v>95</v>
      </c>
      <c r="K250" t="s">
        <v>80</v>
      </c>
      <c r="L250" t="s">
        <v>38</v>
      </c>
      <c r="M250">
        <f t="shared" si="9"/>
        <v>12</v>
      </c>
      <c r="N250" t="str">
        <f t="shared" si="10"/>
        <v>Low</v>
      </c>
      <c r="O250">
        <f t="shared" si="11"/>
        <v>10</v>
      </c>
    </row>
    <row r="251" spans="1:15" x14ac:dyDescent="0.3">
      <c r="A251" t="s">
        <v>810</v>
      </c>
      <c r="B251" t="s">
        <v>54</v>
      </c>
      <c r="C251" t="s">
        <v>394</v>
      </c>
      <c r="D251" t="s">
        <v>288</v>
      </c>
      <c r="E251" t="s">
        <v>34</v>
      </c>
      <c r="F251">
        <v>3971</v>
      </c>
      <c r="G251" t="s">
        <v>44</v>
      </c>
      <c r="H251" t="s">
        <v>85</v>
      </c>
      <c r="I251" t="s">
        <v>28</v>
      </c>
      <c r="J251" t="s">
        <v>46</v>
      </c>
      <c r="K251" t="s">
        <v>37</v>
      </c>
      <c r="L251" t="s">
        <v>38</v>
      </c>
      <c r="M251">
        <f t="shared" si="9"/>
        <v>16</v>
      </c>
      <c r="N251" t="str">
        <f t="shared" si="10"/>
        <v>Low</v>
      </c>
      <c r="O251">
        <f t="shared" si="11"/>
        <v>30</v>
      </c>
    </row>
    <row r="252" spans="1:15" x14ac:dyDescent="0.3">
      <c r="A252" t="s">
        <v>811</v>
      </c>
      <c r="B252" t="s">
        <v>296</v>
      </c>
      <c r="C252" t="s">
        <v>812</v>
      </c>
      <c r="D252" t="s">
        <v>276</v>
      </c>
      <c r="E252" t="s">
        <v>43</v>
      </c>
      <c r="F252">
        <v>8197</v>
      </c>
      <c r="G252" t="s">
        <v>44</v>
      </c>
      <c r="H252" t="s">
        <v>45</v>
      </c>
      <c r="I252" t="s">
        <v>19</v>
      </c>
      <c r="J252" t="s">
        <v>95</v>
      </c>
      <c r="K252" t="s">
        <v>37</v>
      </c>
      <c r="L252" t="s">
        <v>38</v>
      </c>
      <c r="M252">
        <f t="shared" si="9"/>
        <v>20</v>
      </c>
      <c r="N252" t="str">
        <f t="shared" si="10"/>
        <v>Low</v>
      </c>
      <c r="O252">
        <f t="shared" si="11"/>
        <v>10</v>
      </c>
    </row>
    <row r="253" spans="1:15" x14ac:dyDescent="0.3">
      <c r="A253" t="s">
        <v>813</v>
      </c>
      <c r="B253" t="s">
        <v>194</v>
      </c>
      <c r="C253" t="s">
        <v>814</v>
      </c>
      <c r="D253" t="s">
        <v>815</v>
      </c>
      <c r="E253" t="s">
        <v>16</v>
      </c>
      <c r="F253">
        <v>49002</v>
      </c>
      <c r="G253" t="s">
        <v>35</v>
      </c>
      <c r="H253" t="s">
        <v>36</v>
      </c>
      <c r="I253" t="s">
        <v>28</v>
      </c>
      <c r="J253" t="s">
        <v>20</v>
      </c>
      <c r="K253" t="s">
        <v>29</v>
      </c>
      <c r="L253" t="s">
        <v>22</v>
      </c>
      <c r="M253">
        <f t="shared" si="9"/>
        <v>1</v>
      </c>
      <c r="N253" t="str">
        <f t="shared" si="10"/>
        <v>High</v>
      </c>
      <c r="O253">
        <f t="shared" si="11"/>
        <v>95</v>
      </c>
    </row>
    <row r="254" spans="1:15" x14ac:dyDescent="0.3">
      <c r="A254" t="s">
        <v>816</v>
      </c>
      <c r="B254" t="s">
        <v>817</v>
      </c>
      <c r="C254" t="s">
        <v>818</v>
      </c>
      <c r="D254" t="s">
        <v>481</v>
      </c>
      <c r="E254" t="s">
        <v>51</v>
      </c>
      <c r="F254">
        <v>9385</v>
      </c>
      <c r="G254" t="s">
        <v>17</v>
      </c>
      <c r="H254" t="s">
        <v>45</v>
      </c>
      <c r="I254" t="s">
        <v>28</v>
      </c>
      <c r="J254" t="s">
        <v>95</v>
      </c>
      <c r="K254" t="s">
        <v>69</v>
      </c>
      <c r="L254" t="s">
        <v>38</v>
      </c>
      <c r="M254">
        <f t="shared" si="9"/>
        <v>13</v>
      </c>
      <c r="N254" t="str">
        <f t="shared" si="10"/>
        <v>Low</v>
      </c>
      <c r="O254">
        <f t="shared" si="11"/>
        <v>10</v>
      </c>
    </row>
    <row r="255" spans="1:15" x14ac:dyDescent="0.3">
      <c r="A255" t="s">
        <v>819</v>
      </c>
      <c r="B255" t="s">
        <v>820</v>
      </c>
      <c r="C255" t="s">
        <v>821</v>
      </c>
      <c r="D255" t="s">
        <v>298</v>
      </c>
      <c r="E255" t="s">
        <v>94</v>
      </c>
      <c r="F255">
        <v>7600</v>
      </c>
      <c r="G255" t="s">
        <v>79</v>
      </c>
      <c r="H255" t="s">
        <v>113</v>
      </c>
      <c r="I255" t="s">
        <v>28</v>
      </c>
      <c r="J255" t="s">
        <v>46</v>
      </c>
      <c r="K255" t="s">
        <v>29</v>
      </c>
      <c r="L255" t="s">
        <v>38</v>
      </c>
      <c r="M255">
        <f t="shared" si="9"/>
        <v>11</v>
      </c>
      <c r="N255" t="str">
        <f t="shared" si="10"/>
        <v>Low</v>
      </c>
      <c r="O255">
        <f t="shared" si="11"/>
        <v>30</v>
      </c>
    </row>
    <row r="256" spans="1:15" x14ac:dyDescent="0.3">
      <c r="A256" t="s">
        <v>822</v>
      </c>
      <c r="B256" t="s">
        <v>820</v>
      </c>
      <c r="C256" t="s">
        <v>823</v>
      </c>
      <c r="D256" t="s">
        <v>824</v>
      </c>
      <c r="E256" t="s">
        <v>34</v>
      </c>
      <c r="F256">
        <v>8634</v>
      </c>
      <c r="G256" t="s">
        <v>35</v>
      </c>
      <c r="H256" t="s">
        <v>105</v>
      </c>
      <c r="I256" t="s">
        <v>19</v>
      </c>
      <c r="J256" t="s">
        <v>20</v>
      </c>
      <c r="K256" t="s">
        <v>57</v>
      </c>
      <c r="L256" t="s">
        <v>38</v>
      </c>
      <c r="M256">
        <f t="shared" si="9"/>
        <v>7</v>
      </c>
      <c r="N256" t="str">
        <f t="shared" si="10"/>
        <v>Low</v>
      </c>
      <c r="O256">
        <f t="shared" si="11"/>
        <v>10</v>
      </c>
    </row>
    <row r="257" spans="1:15" x14ac:dyDescent="0.3">
      <c r="A257" t="s">
        <v>825</v>
      </c>
      <c r="B257" t="s">
        <v>123</v>
      </c>
      <c r="C257" t="s">
        <v>826</v>
      </c>
      <c r="D257" t="s">
        <v>827</v>
      </c>
      <c r="E257" t="s">
        <v>43</v>
      </c>
      <c r="F257">
        <v>11636</v>
      </c>
      <c r="G257" t="s">
        <v>79</v>
      </c>
      <c r="H257" t="s">
        <v>85</v>
      </c>
      <c r="I257" t="s">
        <v>28</v>
      </c>
      <c r="J257" t="s">
        <v>20</v>
      </c>
      <c r="K257" t="s">
        <v>96</v>
      </c>
      <c r="L257" t="s">
        <v>38</v>
      </c>
      <c r="M257">
        <f t="shared" si="9"/>
        <v>10</v>
      </c>
      <c r="N257" t="str">
        <f t="shared" si="10"/>
        <v>Low</v>
      </c>
      <c r="O257">
        <f t="shared" si="11"/>
        <v>10</v>
      </c>
    </row>
    <row r="258" spans="1:15" x14ac:dyDescent="0.3">
      <c r="A258" t="s">
        <v>828</v>
      </c>
      <c r="B258" t="s">
        <v>13</v>
      </c>
      <c r="C258" t="s">
        <v>692</v>
      </c>
      <c r="D258" t="s">
        <v>441</v>
      </c>
      <c r="E258" t="s">
        <v>94</v>
      </c>
      <c r="F258">
        <v>10151</v>
      </c>
      <c r="G258" t="s">
        <v>68</v>
      </c>
      <c r="H258" t="s">
        <v>105</v>
      </c>
      <c r="I258" t="s">
        <v>28</v>
      </c>
      <c r="J258" t="s">
        <v>46</v>
      </c>
      <c r="K258" t="s">
        <v>96</v>
      </c>
      <c r="L258" t="s">
        <v>38</v>
      </c>
      <c r="M258">
        <f t="shared" ref="M258:M321" si="12">HOUR(C258)</f>
        <v>21</v>
      </c>
      <c r="N258" t="str">
        <f t="shared" ref="N258:N321" si="13">IF(L258="Yes","High","Low")</f>
        <v>Low</v>
      </c>
      <c r="O258">
        <f t="shared" ref="O258:O321" si="14">IF(F258&gt;20000,50,10)+IF(J258="Failed",20,0)+IF(E258="Unknown",30,0)+IF(M258&lt;5,15,0)</f>
        <v>30</v>
      </c>
    </row>
    <row r="259" spans="1:15" x14ac:dyDescent="0.3">
      <c r="A259" t="s">
        <v>829</v>
      </c>
      <c r="B259" t="s">
        <v>742</v>
      </c>
      <c r="C259" t="s">
        <v>830</v>
      </c>
      <c r="D259" t="s">
        <v>676</v>
      </c>
      <c r="E259" t="s">
        <v>43</v>
      </c>
      <c r="F259">
        <v>8827</v>
      </c>
      <c r="G259" t="s">
        <v>68</v>
      </c>
      <c r="H259" t="s">
        <v>36</v>
      </c>
      <c r="I259" t="s">
        <v>19</v>
      </c>
      <c r="J259" t="s">
        <v>95</v>
      </c>
      <c r="K259" t="s">
        <v>96</v>
      </c>
      <c r="L259" t="s">
        <v>38</v>
      </c>
      <c r="M259">
        <f t="shared" si="12"/>
        <v>15</v>
      </c>
      <c r="N259" t="str">
        <f t="shared" si="13"/>
        <v>Low</v>
      </c>
      <c r="O259">
        <f t="shared" si="14"/>
        <v>10</v>
      </c>
    </row>
    <row r="260" spans="1:15" x14ac:dyDescent="0.3">
      <c r="A260" t="s">
        <v>831</v>
      </c>
      <c r="B260" t="s">
        <v>832</v>
      </c>
      <c r="C260" t="s">
        <v>833</v>
      </c>
      <c r="D260" t="s">
        <v>125</v>
      </c>
      <c r="E260" t="s">
        <v>16</v>
      </c>
      <c r="F260">
        <v>45156</v>
      </c>
      <c r="G260" t="s">
        <v>17</v>
      </c>
      <c r="H260" t="s">
        <v>45</v>
      </c>
      <c r="I260" t="s">
        <v>28</v>
      </c>
      <c r="J260" t="s">
        <v>46</v>
      </c>
      <c r="K260" t="s">
        <v>69</v>
      </c>
      <c r="L260" t="s">
        <v>22</v>
      </c>
      <c r="M260">
        <f t="shared" si="12"/>
        <v>23</v>
      </c>
      <c r="N260" t="str">
        <f t="shared" si="13"/>
        <v>High</v>
      </c>
      <c r="O260">
        <f t="shared" si="14"/>
        <v>100</v>
      </c>
    </row>
    <row r="261" spans="1:15" x14ac:dyDescent="0.3">
      <c r="A261" t="s">
        <v>834</v>
      </c>
      <c r="B261" t="s">
        <v>420</v>
      </c>
      <c r="C261" t="s">
        <v>148</v>
      </c>
      <c r="D261" t="s">
        <v>104</v>
      </c>
      <c r="E261" t="s">
        <v>16</v>
      </c>
      <c r="F261">
        <v>6702</v>
      </c>
      <c r="G261" t="s">
        <v>68</v>
      </c>
      <c r="H261" t="s">
        <v>27</v>
      </c>
      <c r="I261" t="s">
        <v>28</v>
      </c>
      <c r="J261" t="s">
        <v>20</v>
      </c>
      <c r="K261" t="s">
        <v>80</v>
      </c>
      <c r="L261" t="s">
        <v>38</v>
      </c>
      <c r="M261">
        <f t="shared" si="12"/>
        <v>20</v>
      </c>
      <c r="N261" t="str">
        <f t="shared" si="13"/>
        <v>Low</v>
      </c>
      <c r="O261">
        <f t="shared" si="14"/>
        <v>40</v>
      </c>
    </row>
    <row r="262" spans="1:15" x14ac:dyDescent="0.3">
      <c r="A262" t="s">
        <v>835</v>
      </c>
      <c r="B262" t="s">
        <v>237</v>
      </c>
      <c r="C262" t="s">
        <v>836</v>
      </c>
      <c r="D262" t="s">
        <v>246</v>
      </c>
      <c r="E262" t="s">
        <v>43</v>
      </c>
      <c r="F262">
        <v>10697</v>
      </c>
      <c r="G262" t="s">
        <v>63</v>
      </c>
      <c r="H262" t="s">
        <v>36</v>
      </c>
      <c r="I262" t="s">
        <v>28</v>
      </c>
      <c r="J262" t="s">
        <v>46</v>
      </c>
      <c r="K262" t="s">
        <v>96</v>
      </c>
      <c r="L262" t="s">
        <v>38</v>
      </c>
      <c r="M262">
        <f t="shared" si="12"/>
        <v>7</v>
      </c>
      <c r="N262" t="str">
        <f t="shared" si="13"/>
        <v>Low</v>
      </c>
      <c r="O262">
        <f t="shared" si="14"/>
        <v>30</v>
      </c>
    </row>
    <row r="263" spans="1:15" x14ac:dyDescent="0.3">
      <c r="A263" t="s">
        <v>837</v>
      </c>
      <c r="B263" t="s">
        <v>164</v>
      </c>
      <c r="C263" t="s">
        <v>838</v>
      </c>
      <c r="D263" t="s">
        <v>638</v>
      </c>
      <c r="E263" t="s">
        <v>34</v>
      </c>
      <c r="F263">
        <v>1404</v>
      </c>
      <c r="G263" t="s">
        <v>68</v>
      </c>
      <c r="H263" t="s">
        <v>45</v>
      </c>
      <c r="I263" t="s">
        <v>19</v>
      </c>
      <c r="J263" t="s">
        <v>46</v>
      </c>
      <c r="K263" t="s">
        <v>21</v>
      </c>
      <c r="L263" t="s">
        <v>38</v>
      </c>
      <c r="M263">
        <f t="shared" si="12"/>
        <v>21</v>
      </c>
      <c r="N263" t="str">
        <f t="shared" si="13"/>
        <v>Low</v>
      </c>
      <c r="O263">
        <f t="shared" si="14"/>
        <v>30</v>
      </c>
    </row>
    <row r="264" spans="1:15" x14ac:dyDescent="0.3">
      <c r="A264" t="s">
        <v>839</v>
      </c>
      <c r="B264" t="s">
        <v>71</v>
      </c>
      <c r="C264" t="s">
        <v>840</v>
      </c>
      <c r="D264" t="s">
        <v>841</v>
      </c>
      <c r="E264" t="s">
        <v>62</v>
      </c>
      <c r="F264">
        <v>14273</v>
      </c>
      <c r="G264" t="s">
        <v>79</v>
      </c>
      <c r="H264" t="s">
        <v>18</v>
      </c>
      <c r="I264" t="s">
        <v>28</v>
      </c>
      <c r="J264" t="s">
        <v>20</v>
      </c>
      <c r="K264" t="s">
        <v>21</v>
      </c>
      <c r="L264" t="s">
        <v>38</v>
      </c>
      <c r="M264">
        <f t="shared" si="12"/>
        <v>21</v>
      </c>
      <c r="N264" t="str">
        <f t="shared" si="13"/>
        <v>Low</v>
      </c>
      <c r="O264">
        <f t="shared" si="14"/>
        <v>10</v>
      </c>
    </row>
    <row r="265" spans="1:15" x14ac:dyDescent="0.3">
      <c r="A265" t="s">
        <v>842</v>
      </c>
      <c r="B265" t="s">
        <v>131</v>
      </c>
      <c r="C265" t="s">
        <v>843</v>
      </c>
      <c r="D265" t="s">
        <v>725</v>
      </c>
      <c r="E265" t="s">
        <v>16</v>
      </c>
      <c r="F265">
        <v>61220</v>
      </c>
      <c r="G265" t="s">
        <v>44</v>
      </c>
      <c r="H265" t="s">
        <v>113</v>
      </c>
      <c r="I265" t="s">
        <v>28</v>
      </c>
      <c r="J265" t="s">
        <v>20</v>
      </c>
      <c r="K265" t="s">
        <v>96</v>
      </c>
      <c r="L265" t="s">
        <v>22</v>
      </c>
      <c r="M265">
        <f t="shared" si="12"/>
        <v>0</v>
      </c>
      <c r="N265" t="str">
        <f t="shared" si="13"/>
        <v>High</v>
      </c>
      <c r="O265">
        <f t="shared" si="14"/>
        <v>95</v>
      </c>
    </row>
    <row r="266" spans="1:15" x14ac:dyDescent="0.3">
      <c r="A266" t="s">
        <v>844</v>
      </c>
      <c r="B266" t="s">
        <v>845</v>
      </c>
      <c r="C266" t="s">
        <v>846</v>
      </c>
      <c r="D266" t="s">
        <v>268</v>
      </c>
      <c r="E266" t="s">
        <v>94</v>
      </c>
      <c r="F266">
        <v>9334</v>
      </c>
      <c r="G266" t="s">
        <v>63</v>
      </c>
      <c r="H266" t="s">
        <v>36</v>
      </c>
      <c r="I266" t="s">
        <v>19</v>
      </c>
      <c r="J266" t="s">
        <v>95</v>
      </c>
      <c r="K266" t="s">
        <v>69</v>
      </c>
      <c r="L266" t="s">
        <v>38</v>
      </c>
      <c r="M266">
        <f t="shared" si="12"/>
        <v>18</v>
      </c>
      <c r="N266" t="str">
        <f t="shared" si="13"/>
        <v>Low</v>
      </c>
      <c r="O266">
        <f t="shared" si="14"/>
        <v>10</v>
      </c>
    </row>
    <row r="267" spans="1:15" x14ac:dyDescent="0.3">
      <c r="A267" t="s">
        <v>847</v>
      </c>
      <c r="B267" t="s">
        <v>420</v>
      </c>
      <c r="C267" t="s">
        <v>848</v>
      </c>
      <c r="D267" t="s">
        <v>849</v>
      </c>
      <c r="E267" t="s">
        <v>43</v>
      </c>
      <c r="F267">
        <v>5716</v>
      </c>
      <c r="G267" t="s">
        <v>79</v>
      </c>
      <c r="H267" t="s">
        <v>18</v>
      </c>
      <c r="I267" t="s">
        <v>28</v>
      </c>
      <c r="J267" t="s">
        <v>46</v>
      </c>
      <c r="K267" t="s">
        <v>21</v>
      </c>
      <c r="L267" t="s">
        <v>38</v>
      </c>
      <c r="M267">
        <f t="shared" si="12"/>
        <v>7</v>
      </c>
      <c r="N267" t="str">
        <f t="shared" si="13"/>
        <v>Low</v>
      </c>
      <c r="O267">
        <f t="shared" si="14"/>
        <v>30</v>
      </c>
    </row>
    <row r="268" spans="1:15" x14ac:dyDescent="0.3">
      <c r="A268" t="s">
        <v>850</v>
      </c>
      <c r="B268" t="s">
        <v>851</v>
      </c>
      <c r="C268" t="s">
        <v>852</v>
      </c>
      <c r="D268" t="s">
        <v>772</v>
      </c>
      <c r="E268" t="s">
        <v>43</v>
      </c>
      <c r="F268">
        <v>12723</v>
      </c>
      <c r="G268" t="s">
        <v>44</v>
      </c>
      <c r="H268" t="s">
        <v>85</v>
      </c>
      <c r="I268" t="s">
        <v>28</v>
      </c>
      <c r="J268" t="s">
        <v>95</v>
      </c>
      <c r="K268" t="s">
        <v>29</v>
      </c>
      <c r="L268" t="s">
        <v>38</v>
      </c>
      <c r="M268">
        <f t="shared" si="12"/>
        <v>16</v>
      </c>
      <c r="N268" t="str">
        <f t="shared" si="13"/>
        <v>Low</v>
      </c>
      <c r="O268">
        <f t="shared" si="14"/>
        <v>10</v>
      </c>
    </row>
    <row r="269" spans="1:15" x14ac:dyDescent="0.3">
      <c r="A269" t="s">
        <v>853</v>
      </c>
      <c r="B269" t="s">
        <v>91</v>
      </c>
      <c r="C269" t="s">
        <v>854</v>
      </c>
      <c r="D269" t="s">
        <v>855</v>
      </c>
      <c r="E269" t="s">
        <v>94</v>
      </c>
      <c r="F269">
        <v>7125</v>
      </c>
      <c r="G269" t="s">
        <v>79</v>
      </c>
      <c r="H269" t="s">
        <v>36</v>
      </c>
      <c r="I269" t="s">
        <v>19</v>
      </c>
      <c r="J269" t="s">
        <v>95</v>
      </c>
      <c r="K269" t="s">
        <v>69</v>
      </c>
      <c r="L269" t="s">
        <v>38</v>
      </c>
      <c r="M269">
        <f t="shared" si="12"/>
        <v>11</v>
      </c>
      <c r="N269" t="str">
        <f t="shared" si="13"/>
        <v>Low</v>
      </c>
      <c r="O269">
        <f t="shared" si="14"/>
        <v>10</v>
      </c>
    </row>
    <row r="270" spans="1:15" x14ac:dyDescent="0.3">
      <c r="A270" t="s">
        <v>856</v>
      </c>
      <c r="B270" t="s">
        <v>443</v>
      </c>
      <c r="C270" t="s">
        <v>857</v>
      </c>
      <c r="D270" t="s">
        <v>716</v>
      </c>
      <c r="E270" t="s">
        <v>43</v>
      </c>
      <c r="F270">
        <v>11733</v>
      </c>
      <c r="G270" t="s">
        <v>17</v>
      </c>
      <c r="H270" t="s">
        <v>36</v>
      </c>
      <c r="I270" t="s">
        <v>19</v>
      </c>
      <c r="J270" t="s">
        <v>46</v>
      </c>
      <c r="K270" t="s">
        <v>80</v>
      </c>
      <c r="L270" t="s">
        <v>38</v>
      </c>
      <c r="M270">
        <f t="shared" si="12"/>
        <v>8</v>
      </c>
      <c r="N270" t="str">
        <f t="shared" si="13"/>
        <v>Low</v>
      </c>
      <c r="O270">
        <f t="shared" si="14"/>
        <v>30</v>
      </c>
    </row>
    <row r="271" spans="1:15" x14ac:dyDescent="0.3">
      <c r="A271" t="s">
        <v>858</v>
      </c>
      <c r="B271" t="s">
        <v>598</v>
      </c>
      <c r="C271" t="s">
        <v>859</v>
      </c>
      <c r="D271" t="s">
        <v>441</v>
      </c>
      <c r="E271" t="s">
        <v>62</v>
      </c>
      <c r="F271">
        <v>1549</v>
      </c>
      <c r="G271" t="s">
        <v>68</v>
      </c>
      <c r="H271" t="s">
        <v>52</v>
      </c>
      <c r="I271" t="s">
        <v>19</v>
      </c>
      <c r="J271" t="s">
        <v>46</v>
      </c>
      <c r="K271" t="s">
        <v>29</v>
      </c>
      <c r="L271" t="s">
        <v>38</v>
      </c>
      <c r="M271">
        <f t="shared" si="12"/>
        <v>6</v>
      </c>
      <c r="N271" t="str">
        <f t="shared" si="13"/>
        <v>Low</v>
      </c>
      <c r="O271">
        <f t="shared" si="14"/>
        <v>30</v>
      </c>
    </row>
    <row r="272" spans="1:15" x14ac:dyDescent="0.3">
      <c r="A272" t="s">
        <v>860</v>
      </c>
      <c r="B272" t="s">
        <v>612</v>
      </c>
      <c r="C272" t="s">
        <v>861</v>
      </c>
      <c r="D272" t="s">
        <v>862</v>
      </c>
      <c r="E272" t="s">
        <v>51</v>
      </c>
      <c r="F272">
        <v>9175</v>
      </c>
      <c r="G272" t="s">
        <v>68</v>
      </c>
      <c r="H272" t="s">
        <v>18</v>
      </c>
      <c r="I272" t="s">
        <v>28</v>
      </c>
      <c r="J272" t="s">
        <v>20</v>
      </c>
      <c r="K272" t="s">
        <v>21</v>
      </c>
      <c r="L272" t="s">
        <v>38</v>
      </c>
      <c r="M272">
        <f t="shared" si="12"/>
        <v>22</v>
      </c>
      <c r="N272" t="str">
        <f t="shared" si="13"/>
        <v>Low</v>
      </c>
      <c r="O272">
        <f t="shared" si="14"/>
        <v>10</v>
      </c>
    </row>
    <row r="273" spans="1:15" x14ac:dyDescent="0.3">
      <c r="A273" t="s">
        <v>863</v>
      </c>
      <c r="B273" t="s">
        <v>851</v>
      </c>
      <c r="C273" t="s">
        <v>864</v>
      </c>
      <c r="D273" t="s">
        <v>865</v>
      </c>
      <c r="E273" t="s">
        <v>43</v>
      </c>
      <c r="F273">
        <v>5365</v>
      </c>
      <c r="G273" t="s">
        <v>79</v>
      </c>
      <c r="H273" t="s">
        <v>36</v>
      </c>
      <c r="I273" t="s">
        <v>19</v>
      </c>
      <c r="J273" t="s">
        <v>46</v>
      </c>
      <c r="K273" t="s">
        <v>80</v>
      </c>
      <c r="L273" t="s">
        <v>38</v>
      </c>
      <c r="M273">
        <f t="shared" si="12"/>
        <v>18</v>
      </c>
      <c r="N273" t="str">
        <f t="shared" si="13"/>
        <v>Low</v>
      </c>
      <c r="O273">
        <f t="shared" si="14"/>
        <v>30</v>
      </c>
    </row>
    <row r="274" spans="1:15" x14ac:dyDescent="0.3">
      <c r="A274" t="s">
        <v>866</v>
      </c>
      <c r="B274" t="s">
        <v>168</v>
      </c>
      <c r="C274" t="s">
        <v>867</v>
      </c>
      <c r="D274" t="s">
        <v>222</v>
      </c>
      <c r="E274" t="s">
        <v>78</v>
      </c>
      <c r="F274">
        <v>2828</v>
      </c>
      <c r="G274" t="s">
        <v>35</v>
      </c>
      <c r="H274" t="s">
        <v>52</v>
      </c>
      <c r="I274" t="s">
        <v>28</v>
      </c>
      <c r="J274" t="s">
        <v>20</v>
      </c>
      <c r="K274" t="s">
        <v>57</v>
      </c>
      <c r="L274" t="s">
        <v>38</v>
      </c>
      <c r="M274">
        <f t="shared" si="12"/>
        <v>18</v>
      </c>
      <c r="N274" t="str">
        <f t="shared" si="13"/>
        <v>Low</v>
      </c>
      <c r="O274">
        <f t="shared" si="14"/>
        <v>10</v>
      </c>
    </row>
    <row r="275" spans="1:15" x14ac:dyDescent="0.3">
      <c r="A275" t="s">
        <v>868</v>
      </c>
      <c r="B275" t="s">
        <v>869</v>
      </c>
      <c r="C275" t="s">
        <v>715</v>
      </c>
      <c r="D275" t="s">
        <v>228</v>
      </c>
      <c r="E275" t="s">
        <v>62</v>
      </c>
      <c r="F275">
        <v>4571</v>
      </c>
      <c r="G275" t="s">
        <v>35</v>
      </c>
      <c r="H275" t="s">
        <v>18</v>
      </c>
      <c r="I275" t="s">
        <v>28</v>
      </c>
      <c r="J275" t="s">
        <v>46</v>
      </c>
      <c r="K275" t="s">
        <v>37</v>
      </c>
      <c r="L275" t="s">
        <v>38</v>
      </c>
      <c r="M275">
        <f t="shared" si="12"/>
        <v>19</v>
      </c>
      <c r="N275" t="str">
        <f t="shared" si="13"/>
        <v>Low</v>
      </c>
      <c r="O275">
        <f t="shared" si="14"/>
        <v>30</v>
      </c>
    </row>
    <row r="276" spans="1:15" x14ac:dyDescent="0.3">
      <c r="A276" t="s">
        <v>870</v>
      </c>
      <c r="B276" t="s">
        <v>871</v>
      </c>
      <c r="C276" t="s">
        <v>872</v>
      </c>
      <c r="D276" t="s">
        <v>873</v>
      </c>
      <c r="E276" t="s">
        <v>51</v>
      </c>
      <c r="F276">
        <v>10153</v>
      </c>
      <c r="G276" t="s">
        <v>44</v>
      </c>
      <c r="H276" t="s">
        <v>52</v>
      </c>
      <c r="I276" t="s">
        <v>19</v>
      </c>
      <c r="J276" t="s">
        <v>20</v>
      </c>
      <c r="K276" t="s">
        <v>57</v>
      </c>
      <c r="L276" t="s">
        <v>38</v>
      </c>
      <c r="M276">
        <f t="shared" si="12"/>
        <v>12</v>
      </c>
      <c r="N276" t="str">
        <f t="shared" si="13"/>
        <v>Low</v>
      </c>
      <c r="O276">
        <f t="shared" si="14"/>
        <v>10</v>
      </c>
    </row>
    <row r="277" spans="1:15" x14ac:dyDescent="0.3">
      <c r="A277" t="s">
        <v>874</v>
      </c>
      <c r="B277" t="s">
        <v>875</v>
      </c>
      <c r="C277" t="s">
        <v>876</v>
      </c>
      <c r="D277" t="s">
        <v>877</v>
      </c>
      <c r="E277" t="s">
        <v>51</v>
      </c>
      <c r="F277">
        <v>14176</v>
      </c>
      <c r="G277" t="s">
        <v>79</v>
      </c>
      <c r="H277" t="s">
        <v>113</v>
      </c>
      <c r="I277" t="s">
        <v>28</v>
      </c>
      <c r="J277" t="s">
        <v>46</v>
      </c>
      <c r="K277" t="s">
        <v>37</v>
      </c>
      <c r="L277" t="s">
        <v>38</v>
      </c>
      <c r="M277">
        <f t="shared" si="12"/>
        <v>16</v>
      </c>
      <c r="N277" t="str">
        <f t="shared" si="13"/>
        <v>Low</v>
      </c>
      <c r="O277">
        <f t="shared" si="14"/>
        <v>30</v>
      </c>
    </row>
    <row r="278" spans="1:15" x14ac:dyDescent="0.3">
      <c r="A278" t="s">
        <v>878</v>
      </c>
      <c r="B278" t="s">
        <v>879</v>
      </c>
      <c r="C278" t="s">
        <v>880</v>
      </c>
      <c r="D278" t="s">
        <v>258</v>
      </c>
      <c r="E278" t="s">
        <v>51</v>
      </c>
      <c r="F278">
        <v>5197</v>
      </c>
      <c r="G278" t="s">
        <v>17</v>
      </c>
      <c r="H278" t="s">
        <v>85</v>
      </c>
      <c r="I278" t="s">
        <v>19</v>
      </c>
      <c r="J278" t="s">
        <v>46</v>
      </c>
      <c r="K278" t="s">
        <v>37</v>
      </c>
      <c r="L278" t="s">
        <v>38</v>
      </c>
      <c r="M278">
        <f t="shared" si="12"/>
        <v>11</v>
      </c>
      <c r="N278" t="str">
        <f t="shared" si="13"/>
        <v>Low</v>
      </c>
      <c r="O278">
        <f t="shared" si="14"/>
        <v>30</v>
      </c>
    </row>
    <row r="279" spans="1:15" x14ac:dyDescent="0.3">
      <c r="A279" t="s">
        <v>881</v>
      </c>
      <c r="B279" t="s">
        <v>139</v>
      </c>
      <c r="C279" t="s">
        <v>882</v>
      </c>
      <c r="D279" t="s">
        <v>654</v>
      </c>
      <c r="E279" t="s">
        <v>43</v>
      </c>
      <c r="F279">
        <v>6487</v>
      </c>
      <c r="G279" t="s">
        <v>17</v>
      </c>
      <c r="H279" t="s">
        <v>113</v>
      </c>
      <c r="I279" t="s">
        <v>19</v>
      </c>
      <c r="J279" t="s">
        <v>95</v>
      </c>
      <c r="K279" t="s">
        <v>80</v>
      </c>
      <c r="L279" t="s">
        <v>38</v>
      </c>
      <c r="M279">
        <f t="shared" si="12"/>
        <v>17</v>
      </c>
      <c r="N279" t="str">
        <f t="shared" si="13"/>
        <v>Low</v>
      </c>
      <c r="O279">
        <f t="shared" si="14"/>
        <v>10</v>
      </c>
    </row>
    <row r="280" spans="1:15" x14ac:dyDescent="0.3">
      <c r="A280" t="s">
        <v>883</v>
      </c>
      <c r="B280" t="s">
        <v>224</v>
      </c>
      <c r="C280" t="s">
        <v>412</v>
      </c>
      <c r="D280" t="s">
        <v>182</v>
      </c>
      <c r="E280" t="s">
        <v>34</v>
      </c>
      <c r="F280">
        <v>4823</v>
      </c>
      <c r="G280" t="s">
        <v>44</v>
      </c>
      <c r="H280" t="s">
        <v>85</v>
      </c>
      <c r="I280" t="s">
        <v>19</v>
      </c>
      <c r="J280" t="s">
        <v>46</v>
      </c>
      <c r="K280" t="s">
        <v>80</v>
      </c>
      <c r="L280" t="s">
        <v>38</v>
      </c>
      <c r="M280">
        <f t="shared" si="12"/>
        <v>8</v>
      </c>
      <c r="N280" t="str">
        <f t="shared" si="13"/>
        <v>Low</v>
      </c>
      <c r="O280">
        <f t="shared" si="14"/>
        <v>30</v>
      </c>
    </row>
    <row r="281" spans="1:15" x14ac:dyDescent="0.3">
      <c r="A281" t="s">
        <v>884</v>
      </c>
      <c r="B281" t="s">
        <v>695</v>
      </c>
      <c r="C281" t="s">
        <v>663</v>
      </c>
      <c r="D281" t="s">
        <v>885</v>
      </c>
      <c r="E281" t="s">
        <v>34</v>
      </c>
      <c r="F281">
        <v>2575</v>
      </c>
      <c r="G281" t="s">
        <v>17</v>
      </c>
      <c r="H281" t="s">
        <v>85</v>
      </c>
      <c r="I281" t="s">
        <v>28</v>
      </c>
      <c r="J281" t="s">
        <v>46</v>
      </c>
      <c r="K281" t="s">
        <v>21</v>
      </c>
      <c r="L281" t="s">
        <v>38</v>
      </c>
      <c r="M281">
        <f t="shared" si="12"/>
        <v>19</v>
      </c>
      <c r="N281" t="str">
        <f t="shared" si="13"/>
        <v>Low</v>
      </c>
      <c r="O281">
        <f t="shared" si="14"/>
        <v>30</v>
      </c>
    </row>
    <row r="282" spans="1:15" x14ac:dyDescent="0.3">
      <c r="A282" t="s">
        <v>886</v>
      </c>
      <c r="B282" t="s">
        <v>887</v>
      </c>
      <c r="C282" t="s">
        <v>715</v>
      </c>
      <c r="D282" t="s">
        <v>371</v>
      </c>
      <c r="E282" t="s">
        <v>16</v>
      </c>
      <c r="F282">
        <v>14298</v>
      </c>
      <c r="G282" t="s">
        <v>35</v>
      </c>
      <c r="H282" t="s">
        <v>45</v>
      </c>
      <c r="I282" t="s">
        <v>19</v>
      </c>
      <c r="J282" t="s">
        <v>20</v>
      </c>
      <c r="K282" t="s">
        <v>96</v>
      </c>
      <c r="L282" t="s">
        <v>38</v>
      </c>
      <c r="M282">
        <f t="shared" si="12"/>
        <v>19</v>
      </c>
      <c r="N282" t="str">
        <f t="shared" si="13"/>
        <v>Low</v>
      </c>
      <c r="O282">
        <f t="shared" si="14"/>
        <v>40</v>
      </c>
    </row>
    <row r="283" spans="1:15" x14ac:dyDescent="0.3">
      <c r="A283" t="s">
        <v>888</v>
      </c>
      <c r="B283" t="s">
        <v>131</v>
      </c>
      <c r="C283" t="s">
        <v>779</v>
      </c>
      <c r="D283" t="s">
        <v>254</v>
      </c>
      <c r="E283" t="s">
        <v>16</v>
      </c>
      <c r="F283">
        <v>2775</v>
      </c>
      <c r="G283" t="s">
        <v>17</v>
      </c>
      <c r="H283" t="s">
        <v>36</v>
      </c>
      <c r="I283" t="s">
        <v>28</v>
      </c>
      <c r="J283" t="s">
        <v>95</v>
      </c>
      <c r="K283" t="s">
        <v>69</v>
      </c>
      <c r="L283" t="s">
        <v>38</v>
      </c>
      <c r="M283">
        <f t="shared" si="12"/>
        <v>7</v>
      </c>
      <c r="N283" t="str">
        <f t="shared" si="13"/>
        <v>Low</v>
      </c>
      <c r="O283">
        <f t="shared" si="14"/>
        <v>40</v>
      </c>
    </row>
    <row r="284" spans="1:15" x14ac:dyDescent="0.3">
      <c r="A284" t="s">
        <v>889</v>
      </c>
      <c r="B284" t="s">
        <v>542</v>
      </c>
      <c r="C284" t="s">
        <v>721</v>
      </c>
      <c r="D284" t="s">
        <v>890</v>
      </c>
      <c r="E284" t="s">
        <v>16</v>
      </c>
      <c r="F284">
        <v>53913</v>
      </c>
      <c r="G284" t="s">
        <v>63</v>
      </c>
      <c r="H284" t="s">
        <v>45</v>
      </c>
      <c r="I284" t="s">
        <v>28</v>
      </c>
      <c r="J284" t="s">
        <v>20</v>
      </c>
      <c r="K284" t="s">
        <v>57</v>
      </c>
      <c r="L284" t="s">
        <v>22</v>
      </c>
      <c r="M284">
        <f t="shared" si="12"/>
        <v>1</v>
      </c>
      <c r="N284" t="str">
        <f t="shared" si="13"/>
        <v>High</v>
      </c>
      <c r="O284">
        <f t="shared" si="14"/>
        <v>95</v>
      </c>
    </row>
    <row r="285" spans="1:15" x14ac:dyDescent="0.3">
      <c r="A285" t="s">
        <v>891</v>
      </c>
      <c r="B285" t="s">
        <v>31</v>
      </c>
      <c r="C285" t="s">
        <v>892</v>
      </c>
      <c r="D285" t="s">
        <v>250</v>
      </c>
      <c r="E285" t="s">
        <v>43</v>
      </c>
      <c r="F285">
        <v>2519</v>
      </c>
      <c r="G285" t="s">
        <v>68</v>
      </c>
      <c r="H285" t="s">
        <v>52</v>
      </c>
      <c r="I285" t="s">
        <v>28</v>
      </c>
      <c r="J285" t="s">
        <v>46</v>
      </c>
      <c r="K285" t="s">
        <v>96</v>
      </c>
      <c r="L285" t="s">
        <v>38</v>
      </c>
      <c r="M285">
        <f t="shared" si="12"/>
        <v>17</v>
      </c>
      <c r="N285" t="str">
        <f t="shared" si="13"/>
        <v>Low</v>
      </c>
      <c r="O285">
        <f t="shared" si="14"/>
        <v>30</v>
      </c>
    </row>
    <row r="286" spans="1:15" x14ac:dyDescent="0.3">
      <c r="A286" t="s">
        <v>893</v>
      </c>
      <c r="B286" t="s">
        <v>707</v>
      </c>
      <c r="C286" t="s">
        <v>894</v>
      </c>
      <c r="D286" t="s">
        <v>375</v>
      </c>
      <c r="E286" t="s">
        <v>34</v>
      </c>
      <c r="F286">
        <v>5670</v>
      </c>
      <c r="G286" t="s">
        <v>68</v>
      </c>
      <c r="H286" t="s">
        <v>85</v>
      </c>
      <c r="I286" t="s">
        <v>28</v>
      </c>
      <c r="J286" t="s">
        <v>20</v>
      </c>
      <c r="K286" t="s">
        <v>57</v>
      </c>
      <c r="L286" t="s">
        <v>38</v>
      </c>
      <c r="M286">
        <f t="shared" si="12"/>
        <v>20</v>
      </c>
      <c r="N286" t="str">
        <f t="shared" si="13"/>
        <v>Low</v>
      </c>
      <c r="O286">
        <f t="shared" si="14"/>
        <v>10</v>
      </c>
    </row>
    <row r="287" spans="1:15" x14ac:dyDescent="0.3">
      <c r="A287" t="s">
        <v>895</v>
      </c>
      <c r="B287" t="s">
        <v>563</v>
      </c>
      <c r="C287" t="s">
        <v>896</v>
      </c>
      <c r="D287" t="s">
        <v>897</v>
      </c>
      <c r="E287" t="s">
        <v>43</v>
      </c>
      <c r="F287">
        <v>7462</v>
      </c>
      <c r="G287" t="s">
        <v>44</v>
      </c>
      <c r="H287" t="s">
        <v>18</v>
      </c>
      <c r="I287" t="s">
        <v>19</v>
      </c>
      <c r="J287" t="s">
        <v>46</v>
      </c>
      <c r="K287" t="s">
        <v>69</v>
      </c>
      <c r="L287" t="s">
        <v>38</v>
      </c>
      <c r="M287">
        <f t="shared" si="12"/>
        <v>16</v>
      </c>
      <c r="N287" t="str">
        <f t="shared" si="13"/>
        <v>Low</v>
      </c>
      <c r="O287">
        <f t="shared" si="14"/>
        <v>30</v>
      </c>
    </row>
    <row r="288" spans="1:15" x14ac:dyDescent="0.3">
      <c r="A288" t="s">
        <v>898</v>
      </c>
      <c r="B288" t="s">
        <v>626</v>
      </c>
      <c r="C288" t="s">
        <v>25</v>
      </c>
      <c r="D288" t="s">
        <v>261</v>
      </c>
      <c r="E288" t="s">
        <v>16</v>
      </c>
      <c r="F288">
        <v>41542</v>
      </c>
      <c r="G288" t="s">
        <v>17</v>
      </c>
      <c r="H288" t="s">
        <v>113</v>
      </c>
      <c r="I288" t="s">
        <v>28</v>
      </c>
      <c r="J288" t="s">
        <v>20</v>
      </c>
      <c r="K288" t="s">
        <v>21</v>
      </c>
      <c r="L288" t="s">
        <v>22</v>
      </c>
      <c r="M288">
        <f t="shared" si="12"/>
        <v>1</v>
      </c>
      <c r="N288" t="str">
        <f t="shared" si="13"/>
        <v>High</v>
      </c>
      <c r="O288">
        <f t="shared" si="14"/>
        <v>95</v>
      </c>
    </row>
    <row r="289" spans="1:15" x14ac:dyDescent="0.3">
      <c r="A289" t="s">
        <v>899</v>
      </c>
      <c r="B289" t="s">
        <v>303</v>
      </c>
      <c r="C289" t="s">
        <v>854</v>
      </c>
      <c r="D289" t="s">
        <v>250</v>
      </c>
      <c r="E289" t="s">
        <v>78</v>
      </c>
      <c r="F289">
        <v>6686</v>
      </c>
      <c r="G289" t="s">
        <v>63</v>
      </c>
      <c r="H289" t="s">
        <v>36</v>
      </c>
      <c r="I289" t="s">
        <v>28</v>
      </c>
      <c r="J289" t="s">
        <v>95</v>
      </c>
      <c r="K289" t="s">
        <v>96</v>
      </c>
      <c r="L289" t="s">
        <v>38</v>
      </c>
      <c r="M289">
        <f t="shared" si="12"/>
        <v>11</v>
      </c>
      <c r="N289" t="str">
        <f t="shared" si="13"/>
        <v>Low</v>
      </c>
      <c r="O289">
        <f t="shared" si="14"/>
        <v>10</v>
      </c>
    </row>
    <row r="290" spans="1:15" x14ac:dyDescent="0.3">
      <c r="A290" t="s">
        <v>900</v>
      </c>
      <c r="B290" t="s">
        <v>901</v>
      </c>
      <c r="C290" t="s">
        <v>902</v>
      </c>
      <c r="D290" t="s">
        <v>903</v>
      </c>
      <c r="E290" t="s">
        <v>51</v>
      </c>
      <c r="F290">
        <v>7415</v>
      </c>
      <c r="G290" t="s">
        <v>63</v>
      </c>
      <c r="H290" t="s">
        <v>27</v>
      </c>
      <c r="I290" t="s">
        <v>19</v>
      </c>
      <c r="J290" t="s">
        <v>20</v>
      </c>
      <c r="K290" t="s">
        <v>37</v>
      </c>
      <c r="L290" t="s">
        <v>38</v>
      </c>
      <c r="M290">
        <f t="shared" si="12"/>
        <v>19</v>
      </c>
      <c r="N290" t="str">
        <f t="shared" si="13"/>
        <v>Low</v>
      </c>
      <c r="O290">
        <f t="shared" si="14"/>
        <v>10</v>
      </c>
    </row>
    <row r="291" spans="1:15" x14ac:dyDescent="0.3">
      <c r="A291" t="s">
        <v>904</v>
      </c>
      <c r="B291" t="s">
        <v>869</v>
      </c>
      <c r="C291" t="s">
        <v>905</v>
      </c>
      <c r="D291" t="s">
        <v>170</v>
      </c>
      <c r="E291" t="s">
        <v>62</v>
      </c>
      <c r="F291">
        <v>13149</v>
      </c>
      <c r="G291" t="s">
        <v>63</v>
      </c>
      <c r="H291" t="s">
        <v>85</v>
      </c>
      <c r="I291" t="s">
        <v>19</v>
      </c>
      <c r="J291" t="s">
        <v>46</v>
      </c>
      <c r="K291" t="s">
        <v>37</v>
      </c>
      <c r="L291" t="s">
        <v>38</v>
      </c>
      <c r="M291">
        <f t="shared" si="12"/>
        <v>11</v>
      </c>
      <c r="N291" t="str">
        <f t="shared" si="13"/>
        <v>Low</v>
      </c>
      <c r="O291">
        <f t="shared" si="14"/>
        <v>30</v>
      </c>
    </row>
    <row r="292" spans="1:15" x14ac:dyDescent="0.3">
      <c r="A292" t="s">
        <v>906</v>
      </c>
      <c r="B292" t="s">
        <v>463</v>
      </c>
      <c r="C292" t="s">
        <v>907</v>
      </c>
      <c r="D292" t="s">
        <v>908</v>
      </c>
      <c r="E292" t="s">
        <v>16</v>
      </c>
      <c r="F292">
        <v>10521</v>
      </c>
      <c r="G292" t="s">
        <v>44</v>
      </c>
      <c r="H292" t="s">
        <v>36</v>
      </c>
      <c r="I292" t="s">
        <v>19</v>
      </c>
      <c r="J292" t="s">
        <v>46</v>
      </c>
      <c r="K292" t="s">
        <v>37</v>
      </c>
      <c r="L292" t="s">
        <v>38</v>
      </c>
      <c r="M292">
        <f t="shared" si="12"/>
        <v>16</v>
      </c>
      <c r="N292" t="str">
        <f t="shared" si="13"/>
        <v>Low</v>
      </c>
      <c r="O292">
        <f t="shared" si="14"/>
        <v>60</v>
      </c>
    </row>
    <row r="293" spans="1:15" x14ac:dyDescent="0.3">
      <c r="A293" t="s">
        <v>909</v>
      </c>
      <c r="B293" t="s">
        <v>423</v>
      </c>
      <c r="C293" t="s">
        <v>910</v>
      </c>
      <c r="D293" t="s">
        <v>467</v>
      </c>
      <c r="E293" t="s">
        <v>16</v>
      </c>
      <c r="F293">
        <v>13382</v>
      </c>
      <c r="G293" t="s">
        <v>35</v>
      </c>
      <c r="H293" t="s">
        <v>113</v>
      </c>
      <c r="I293" t="s">
        <v>28</v>
      </c>
      <c r="J293" t="s">
        <v>95</v>
      </c>
      <c r="K293" t="s">
        <v>96</v>
      </c>
      <c r="L293" t="s">
        <v>38</v>
      </c>
      <c r="M293">
        <f t="shared" si="12"/>
        <v>15</v>
      </c>
      <c r="N293" t="str">
        <f t="shared" si="13"/>
        <v>Low</v>
      </c>
      <c r="O293">
        <f t="shared" si="14"/>
        <v>40</v>
      </c>
    </row>
    <row r="294" spans="1:15" x14ac:dyDescent="0.3">
      <c r="A294" t="s">
        <v>911</v>
      </c>
      <c r="B294" t="s">
        <v>912</v>
      </c>
      <c r="C294" t="s">
        <v>913</v>
      </c>
      <c r="D294" t="s">
        <v>427</v>
      </c>
      <c r="E294" t="s">
        <v>16</v>
      </c>
      <c r="F294">
        <v>68929</v>
      </c>
      <c r="G294" t="s">
        <v>35</v>
      </c>
      <c r="H294" t="s">
        <v>113</v>
      </c>
      <c r="I294" t="s">
        <v>28</v>
      </c>
      <c r="J294" t="s">
        <v>46</v>
      </c>
      <c r="K294" t="s">
        <v>57</v>
      </c>
      <c r="L294" t="s">
        <v>22</v>
      </c>
      <c r="M294">
        <f t="shared" si="12"/>
        <v>1</v>
      </c>
      <c r="N294" t="str">
        <f t="shared" si="13"/>
        <v>High</v>
      </c>
      <c r="O294">
        <f t="shared" si="14"/>
        <v>115</v>
      </c>
    </row>
    <row r="295" spans="1:15" x14ac:dyDescent="0.3">
      <c r="A295" t="s">
        <v>914</v>
      </c>
      <c r="B295" t="s">
        <v>411</v>
      </c>
      <c r="C295" t="s">
        <v>915</v>
      </c>
      <c r="D295" t="s">
        <v>916</v>
      </c>
      <c r="E295" t="s">
        <v>16</v>
      </c>
      <c r="F295">
        <v>11411</v>
      </c>
      <c r="G295" t="s">
        <v>44</v>
      </c>
      <c r="H295" t="s">
        <v>52</v>
      </c>
      <c r="I295" t="s">
        <v>19</v>
      </c>
      <c r="J295" t="s">
        <v>20</v>
      </c>
      <c r="K295" t="s">
        <v>29</v>
      </c>
      <c r="L295" t="s">
        <v>38</v>
      </c>
      <c r="M295">
        <f t="shared" si="12"/>
        <v>11</v>
      </c>
      <c r="N295" t="str">
        <f t="shared" si="13"/>
        <v>Low</v>
      </c>
      <c r="O295">
        <f t="shared" si="14"/>
        <v>40</v>
      </c>
    </row>
    <row r="296" spans="1:15" x14ac:dyDescent="0.3">
      <c r="A296" t="s">
        <v>917</v>
      </c>
      <c r="B296" t="s">
        <v>665</v>
      </c>
      <c r="C296" t="s">
        <v>660</v>
      </c>
      <c r="D296" t="s">
        <v>375</v>
      </c>
      <c r="E296" t="s">
        <v>43</v>
      </c>
      <c r="F296">
        <v>14230</v>
      </c>
      <c r="G296" t="s">
        <v>79</v>
      </c>
      <c r="H296" t="s">
        <v>27</v>
      </c>
      <c r="I296" t="s">
        <v>28</v>
      </c>
      <c r="J296" t="s">
        <v>46</v>
      </c>
      <c r="K296" t="s">
        <v>21</v>
      </c>
      <c r="L296" t="s">
        <v>38</v>
      </c>
      <c r="M296">
        <f t="shared" si="12"/>
        <v>17</v>
      </c>
      <c r="N296" t="str">
        <f t="shared" si="13"/>
        <v>Low</v>
      </c>
      <c r="O296">
        <f t="shared" si="14"/>
        <v>30</v>
      </c>
    </row>
    <row r="297" spans="1:15" x14ac:dyDescent="0.3">
      <c r="A297" t="s">
        <v>918</v>
      </c>
      <c r="B297" t="s">
        <v>237</v>
      </c>
      <c r="C297" t="s">
        <v>919</v>
      </c>
      <c r="D297" t="s">
        <v>920</v>
      </c>
      <c r="E297" t="s">
        <v>51</v>
      </c>
      <c r="F297">
        <v>11268</v>
      </c>
      <c r="G297" t="s">
        <v>68</v>
      </c>
      <c r="H297" t="s">
        <v>85</v>
      </c>
      <c r="I297" t="s">
        <v>28</v>
      </c>
      <c r="J297" t="s">
        <v>95</v>
      </c>
      <c r="K297" t="s">
        <v>29</v>
      </c>
      <c r="L297" t="s">
        <v>38</v>
      </c>
      <c r="M297">
        <f t="shared" si="12"/>
        <v>21</v>
      </c>
      <c r="N297" t="str">
        <f t="shared" si="13"/>
        <v>Low</v>
      </c>
      <c r="O297">
        <f t="shared" si="14"/>
        <v>10</v>
      </c>
    </row>
    <row r="298" spans="1:15" x14ac:dyDescent="0.3">
      <c r="A298" t="s">
        <v>921</v>
      </c>
      <c r="B298" t="s">
        <v>922</v>
      </c>
      <c r="C298" t="s">
        <v>923</v>
      </c>
      <c r="D298" t="s">
        <v>196</v>
      </c>
      <c r="E298" t="s">
        <v>16</v>
      </c>
      <c r="F298">
        <v>48905</v>
      </c>
      <c r="G298" t="s">
        <v>17</v>
      </c>
      <c r="H298" t="s">
        <v>27</v>
      </c>
      <c r="I298" t="s">
        <v>28</v>
      </c>
      <c r="J298" t="s">
        <v>20</v>
      </c>
      <c r="K298" t="s">
        <v>29</v>
      </c>
      <c r="L298" t="s">
        <v>22</v>
      </c>
      <c r="M298">
        <f t="shared" si="12"/>
        <v>2</v>
      </c>
      <c r="N298" t="str">
        <f t="shared" si="13"/>
        <v>High</v>
      </c>
      <c r="O298">
        <f t="shared" si="14"/>
        <v>95</v>
      </c>
    </row>
    <row r="299" spans="1:15" x14ac:dyDescent="0.3">
      <c r="A299" t="s">
        <v>924</v>
      </c>
      <c r="B299" t="s">
        <v>922</v>
      </c>
      <c r="C299" t="s">
        <v>925</v>
      </c>
      <c r="D299" t="s">
        <v>775</v>
      </c>
      <c r="E299" t="s">
        <v>16</v>
      </c>
      <c r="F299">
        <v>12598</v>
      </c>
      <c r="G299" t="s">
        <v>79</v>
      </c>
      <c r="H299" t="s">
        <v>18</v>
      </c>
      <c r="I299" t="s">
        <v>28</v>
      </c>
      <c r="J299" t="s">
        <v>95</v>
      </c>
      <c r="K299" t="s">
        <v>69</v>
      </c>
      <c r="L299" t="s">
        <v>38</v>
      </c>
      <c r="M299">
        <f t="shared" si="12"/>
        <v>21</v>
      </c>
      <c r="N299" t="str">
        <f t="shared" si="13"/>
        <v>Low</v>
      </c>
      <c r="O299">
        <f t="shared" si="14"/>
        <v>40</v>
      </c>
    </row>
    <row r="300" spans="1:15" x14ac:dyDescent="0.3">
      <c r="A300" t="s">
        <v>926</v>
      </c>
      <c r="B300" t="s">
        <v>446</v>
      </c>
      <c r="C300" t="s">
        <v>927</v>
      </c>
      <c r="D300" t="s">
        <v>149</v>
      </c>
      <c r="E300" t="s">
        <v>34</v>
      </c>
      <c r="F300">
        <v>12449</v>
      </c>
      <c r="G300" t="s">
        <v>63</v>
      </c>
      <c r="H300" t="s">
        <v>27</v>
      </c>
      <c r="I300" t="s">
        <v>28</v>
      </c>
      <c r="J300" t="s">
        <v>95</v>
      </c>
      <c r="K300" t="s">
        <v>96</v>
      </c>
      <c r="L300" t="s">
        <v>38</v>
      </c>
      <c r="M300">
        <f t="shared" si="12"/>
        <v>7</v>
      </c>
      <c r="N300" t="str">
        <f t="shared" si="13"/>
        <v>Low</v>
      </c>
      <c r="O300">
        <f t="shared" si="14"/>
        <v>10</v>
      </c>
    </row>
    <row r="301" spans="1:15" x14ac:dyDescent="0.3">
      <c r="A301" t="s">
        <v>928</v>
      </c>
      <c r="B301" t="s">
        <v>237</v>
      </c>
      <c r="C301" t="s">
        <v>929</v>
      </c>
      <c r="D301" t="s">
        <v>690</v>
      </c>
      <c r="E301" t="s">
        <v>51</v>
      </c>
      <c r="F301">
        <v>4927</v>
      </c>
      <c r="G301" t="s">
        <v>68</v>
      </c>
      <c r="H301" t="s">
        <v>18</v>
      </c>
      <c r="I301" t="s">
        <v>28</v>
      </c>
      <c r="J301" t="s">
        <v>46</v>
      </c>
      <c r="K301" t="s">
        <v>69</v>
      </c>
      <c r="L301" t="s">
        <v>38</v>
      </c>
      <c r="M301">
        <f t="shared" si="12"/>
        <v>7</v>
      </c>
      <c r="N301" t="str">
        <f t="shared" si="13"/>
        <v>Low</v>
      </c>
      <c r="O301">
        <f t="shared" si="14"/>
        <v>30</v>
      </c>
    </row>
    <row r="302" spans="1:15" x14ac:dyDescent="0.3">
      <c r="A302" t="s">
        <v>930</v>
      </c>
      <c r="B302" t="s">
        <v>478</v>
      </c>
      <c r="C302" t="s">
        <v>931</v>
      </c>
      <c r="D302" t="s">
        <v>631</v>
      </c>
      <c r="E302" t="s">
        <v>34</v>
      </c>
      <c r="F302">
        <v>12135</v>
      </c>
      <c r="G302" t="s">
        <v>35</v>
      </c>
      <c r="H302" t="s">
        <v>36</v>
      </c>
      <c r="I302" t="s">
        <v>19</v>
      </c>
      <c r="J302" t="s">
        <v>95</v>
      </c>
      <c r="K302" t="s">
        <v>21</v>
      </c>
      <c r="L302" t="s">
        <v>38</v>
      </c>
      <c r="M302">
        <f t="shared" si="12"/>
        <v>17</v>
      </c>
      <c r="N302" t="str">
        <f t="shared" si="13"/>
        <v>Low</v>
      </c>
      <c r="O302">
        <f t="shared" si="14"/>
        <v>10</v>
      </c>
    </row>
    <row r="303" spans="1:15" x14ac:dyDescent="0.3">
      <c r="A303" t="s">
        <v>932</v>
      </c>
      <c r="B303" t="s">
        <v>933</v>
      </c>
      <c r="C303" t="s">
        <v>934</v>
      </c>
      <c r="D303" t="s">
        <v>651</v>
      </c>
      <c r="E303" t="s">
        <v>16</v>
      </c>
      <c r="F303">
        <v>13246</v>
      </c>
      <c r="G303" t="s">
        <v>63</v>
      </c>
      <c r="H303" t="s">
        <v>52</v>
      </c>
      <c r="I303" t="s">
        <v>19</v>
      </c>
      <c r="J303" t="s">
        <v>46</v>
      </c>
      <c r="K303" t="s">
        <v>37</v>
      </c>
      <c r="L303" t="s">
        <v>38</v>
      </c>
      <c r="M303">
        <f t="shared" si="12"/>
        <v>7</v>
      </c>
      <c r="N303" t="str">
        <f t="shared" si="13"/>
        <v>Low</v>
      </c>
      <c r="O303">
        <f t="shared" si="14"/>
        <v>60</v>
      </c>
    </row>
    <row r="304" spans="1:15" x14ac:dyDescent="0.3">
      <c r="A304" t="s">
        <v>935</v>
      </c>
      <c r="B304" t="s">
        <v>678</v>
      </c>
      <c r="C304" t="s">
        <v>936</v>
      </c>
      <c r="D304" t="s">
        <v>391</v>
      </c>
      <c r="E304" t="s">
        <v>94</v>
      </c>
      <c r="F304">
        <v>4430</v>
      </c>
      <c r="G304" t="s">
        <v>63</v>
      </c>
      <c r="H304" t="s">
        <v>36</v>
      </c>
      <c r="I304" t="s">
        <v>19</v>
      </c>
      <c r="J304" t="s">
        <v>20</v>
      </c>
      <c r="K304" t="s">
        <v>37</v>
      </c>
      <c r="L304" t="s">
        <v>38</v>
      </c>
      <c r="M304">
        <f t="shared" si="12"/>
        <v>22</v>
      </c>
      <c r="N304" t="str">
        <f t="shared" si="13"/>
        <v>Low</v>
      </c>
      <c r="O304">
        <f t="shared" si="14"/>
        <v>10</v>
      </c>
    </row>
    <row r="305" spans="1:15" x14ac:dyDescent="0.3">
      <c r="A305" t="s">
        <v>937</v>
      </c>
      <c r="B305" t="s">
        <v>266</v>
      </c>
      <c r="C305" t="s">
        <v>938</v>
      </c>
      <c r="D305" t="s">
        <v>235</v>
      </c>
      <c r="E305" t="s">
        <v>78</v>
      </c>
      <c r="F305">
        <v>2224</v>
      </c>
      <c r="G305" t="s">
        <v>35</v>
      </c>
      <c r="H305" t="s">
        <v>27</v>
      </c>
      <c r="I305" t="s">
        <v>28</v>
      </c>
      <c r="J305" t="s">
        <v>95</v>
      </c>
      <c r="K305" t="s">
        <v>57</v>
      </c>
      <c r="L305" t="s">
        <v>38</v>
      </c>
      <c r="M305">
        <f t="shared" si="12"/>
        <v>13</v>
      </c>
      <c r="N305" t="str">
        <f t="shared" si="13"/>
        <v>Low</v>
      </c>
      <c r="O305">
        <f t="shared" si="14"/>
        <v>10</v>
      </c>
    </row>
    <row r="306" spans="1:15" x14ac:dyDescent="0.3">
      <c r="A306" t="s">
        <v>939</v>
      </c>
      <c r="B306" t="s">
        <v>609</v>
      </c>
      <c r="C306" t="s">
        <v>663</v>
      </c>
      <c r="D306" t="s">
        <v>170</v>
      </c>
      <c r="E306" t="s">
        <v>51</v>
      </c>
      <c r="F306">
        <v>10336</v>
      </c>
      <c r="G306" t="s">
        <v>63</v>
      </c>
      <c r="H306" t="s">
        <v>18</v>
      </c>
      <c r="I306" t="s">
        <v>28</v>
      </c>
      <c r="J306" t="s">
        <v>46</v>
      </c>
      <c r="K306" t="s">
        <v>21</v>
      </c>
      <c r="L306" t="s">
        <v>38</v>
      </c>
      <c r="M306">
        <f t="shared" si="12"/>
        <v>19</v>
      </c>
      <c r="N306" t="str">
        <f t="shared" si="13"/>
        <v>Low</v>
      </c>
      <c r="O306">
        <f t="shared" si="14"/>
        <v>30</v>
      </c>
    </row>
    <row r="307" spans="1:15" x14ac:dyDescent="0.3">
      <c r="A307" t="s">
        <v>940</v>
      </c>
      <c r="B307" t="s">
        <v>139</v>
      </c>
      <c r="C307" t="s">
        <v>941</v>
      </c>
      <c r="D307" t="s">
        <v>942</v>
      </c>
      <c r="E307" t="s">
        <v>51</v>
      </c>
      <c r="F307">
        <v>14423</v>
      </c>
      <c r="G307" t="s">
        <v>17</v>
      </c>
      <c r="H307" t="s">
        <v>105</v>
      </c>
      <c r="I307" t="s">
        <v>19</v>
      </c>
      <c r="J307" t="s">
        <v>46</v>
      </c>
      <c r="K307" t="s">
        <v>80</v>
      </c>
      <c r="L307" t="s">
        <v>38</v>
      </c>
      <c r="M307">
        <f t="shared" si="12"/>
        <v>17</v>
      </c>
      <c r="N307" t="str">
        <f t="shared" si="13"/>
        <v>Low</v>
      </c>
      <c r="O307">
        <f t="shared" si="14"/>
        <v>30</v>
      </c>
    </row>
    <row r="308" spans="1:15" x14ac:dyDescent="0.3">
      <c r="A308" t="s">
        <v>943</v>
      </c>
      <c r="B308" t="s">
        <v>515</v>
      </c>
      <c r="C308" t="s">
        <v>944</v>
      </c>
      <c r="D308" t="s">
        <v>945</v>
      </c>
      <c r="E308" t="s">
        <v>34</v>
      </c>
      <c r="F308">
        <v>5919</v>
      </c>
      <c r="G308" t="s">
        <v>35</v>
      </c>
      <c r="H308" t="s">
        <v>27</v>
      </c>
      <c r="I308" t="s">
        <v>28</v>
      </c>
      <c r="J308" t="s">
        <v>95</v>
      </c>
      <c r="K308" t="s">
        <v>69</v>
      </c>
      <c r="L308" t="s">
        <v>38</v>
      </c>
      <c r="M308">
        <f t="shared" si="12"/>
        <v>8</v>
      </c>
      <c r="N308" t="str">
        <f t="shared" si="13"/>
        <v>Low</v>
      </c>
      <c r="O308">
        <f t="shared" si="14"/>
        <v>10</v>
      </c>
    </row>
    <row r="309" spans="1:15" x14ac:dyDescent="0.3">
      <c r="A309" t="s">
        <v>946</v>
      </c>
      <c r="B309" t="s">
        <v>550</v>
      </c>
      <c r="C309" t="s">
        <v>504</v>
      </c>
      <c r="D309" t="s">
        <v>947</v>
      </c>
      <c r="E309" t="s">
        <v>62</v>
      </c>
      <c r="F309">
        <v>13621</v>
      </c>
      <c r="G309" t="s">
        <v>44</v>
      </c>
      <c r="H309" t="s">
        <v>113</v>
      </c>
      <c r="I309" t="s">
        <v>28</v>
      </c>
      <c r="J309" t="s">
        <v>95</v>
      </c>
      <c r="K309" t="s">
        <v>69</v>
      </c>
      <c r="L309" t="s">
        <v>38</v>
      </c>
      <c r="M309">
        <f t="shared" si="12"/>
        <v>15</v>
      </c>
      <c r="N309" t="str">
        <f t="shared" si="13"/>
        <v>Low</v>
      </c>
      <c r="O309">
        <f t="shared" si="14"/>
        <v>10</v>
      </c>
    </row>
    <row r="310" spans="1:15" x14ac:dyDescent="0.3">
      <c r="A310" t="s">
        <v>948</v>
      </c>
      <c r="B310" t="s">
        <v>949</v>
      </c>
      <c r="C310" t="s">
        <v>950</v>
      </c>
      <c r="D310" t="s">
        <v>951</v>
      </c>
      <c r="E310" t="s">
        <v>94</v>
      </c>
      <c r="F310">
        <v>802</v>
      </c>
      <c r="G310" t="s">
        <v>17</v>
      </c>
      <c r="H310" t="s">
        <v>18</v>
      </c>
      <c r="I310" t="s">
        <v>19</v>
      </c>
      <c r="J310" t="s">
        <v>46</v>
      </c>
      <c r="K310" t="s">
        <v>57</v>
      </c>
      <c r="L310" t="s">
        <v>38</v>
      </c>
      <c r="M310">
        <f t="shared" si="12"/>
        <v>9</v>
      </c>
      <c r="N310" t="str">
        <f t="shared" si="13"/>
        <v>Low</v>
      </c>
      <c r="O310">
        <f t="shared" si="14"/>
        <v>30</v>
      </c>
    </row>
    <row r="311" spans="1:15" x14ac:dyDescent="0.3">
      <c r="A311" t="s">
        <v>952</v>
      </c>
      <c r="B311" t="s">
        <v>781</v>
      </c>
      <c r="C311" t="s">
        <v>953</v>
      </c>
      <c r="D311" t="s">
        <v>954</v>
      </c>
      <c r="E311" t="s">
        <v>94</v>
      </c>
      <c r="F311">
        <v>7059</v>
      </c>
      <c r="G311" t="s">
        <v>44</v>
      </c>
      <c r="H311" t="s">
        <v>52</v>
      </c>
      <c r="I311" t="s">
        <v>19</v>
      </c>
      <c r="J311" t="s">
        <v>20</v>
      </c>
      <c r="K311" t="s">
        <v>69</v>
      </c>
      <c r="L311" t="s">
        <v>38</v>
      </c>
      <c r="M311">
        <f t="shared" si="12"/>
        <v>12</v>
      </c>
      <c r="N311" t="str">
        <f t="shared" si="13"/>
        <v>Low</v>
      </c>
      <c r="O311">
        <f t="shared" si="14"/>
        <v>10</v>
      </c>
    </row>
    <row r="312" spans="1:15" x14ac:dyDescent="0.3">
      <c r="A312" t="s">
        <v>955</v>
      </c>
      <c r="B312" t="s">
        <v>180</v>
      </c>
      <c r="C312" t="s">
        <v>956</v>
      </c>
      <c r="D312" t="s">
        <v>335</v>
      </c>
      <c r="E312" t="s">
        <v>62</v>
      </c>
      <c r="F312">
        <v>4152</v>
      </c>
      <c r="G312" t="s">
        <v>63</v>
      </c>
      <c r="H312" t="s">
        <v>113</v>
      </c>
      <c r="I312" t="s">
        <v>19</v>
      </c>
      <c r="J312" t="s">
        <v>95</v>
      </c>
      <c r="K312" t="s">
        <v>57</v>
      </c>
      <c r="L312" t="s">
        <v>38</v>
      </c>
      <c r="M312">
        <f t="shared" si="12"/>
        <v>8</v>
      </c>
      <c r="N312" t="str">
        <f t="shared" si="13"/>
        <v>Low</v>
      </c>
      <c r="O312">
        <f t="shared" si="14"/>
        <v>10</v>
      </c>
    </row>
    <row r="313" spans="1:15" x14ac:dyDescent="0.3">
      <c r="A313" t="s">
        <v>957</v>
      </c>
      <c r="B313" t="s">
        <v>912</v>
      </c>
      <c r="C313" t="s">
        <v>958</v>
      </c>
      <c r="D313" t="s">
        <v>517</v>
      </c>
      <c r="E313" t="s">
        <v>51</v>
      </c>
      <c r="F313">
        <v>12423</v>
      </c>
      <c r="G313" t="s">
        <v>17</v>
      </c>
      <c r="H313" t="s">
        <v>18</v>
      </c>
      <c r="I313" t="s">
        <v>19</v>
      </c>
      <c r="J313" t="s">
        <v>95</v>
      </c>
      <c r="K313" t="s">
        <v>29</v>
      </c>
      <c r="L313" t="s">
        <v>38</v>
      </c>
      <c r="M313">
        <f t="shared" si="12"/>
        <v>13</v>
      </c>
      <c r="N313" t="str">
        <f t="shared" si="13"/>
        <v>Low</v>
      </c>
      <c r="O313">
        <f t="shared" si="14"/>
        <v>10</v>
      </c>
    </row>
    <row r="314" spans="1:15" x14ac:dyDescent="0.3">
      <c r="A314" t="s">
        <v>959</v>
      </c>
      <c r="B314" t="s">
        <v>960</v>
      </c>
      <c r="C314" t="s">
        <v>961</v>
      </c>
      <c r="D314" t="s">
        <v>250</v>
      </c>
      <c r="E314" t="s">
        <v>16</v>
      </c>
      <c r="F314">
        <v>49647</v>
      </c>
      <c r="G314" t="s">
        <v>68</v>
      </c>
      <c r="H314" t="s">
        <v>105</v>
      </c>
      <c r="I314" t="s">
        <v>28</v>
      </c>
      <c r="J314" t="s">
        <v>46</v>
      </c>
      <c r="K314" t="s">
        <v>69</v>
      </c>
      <c r="L314" t="s">
        <v>22</v>
      </c>
      <c r="M314">
        <f t="shared" si="12"/>
        <v>23</v>
      </c>
      <c r="N314" t="str">
        <f t="shared" si="13"/>
        <v>High</v>
      </c>
      <c r="O314">
        <f t="shared" si="14"/>
        <v>100</v>
      </c>
    </row>
    <row r="315" spans="1:15" x14ac:dyDescent="0.3">
      <c r="A315" t="s">
        <v>962</v>
      </c>
      <c r="B315" t="s">
        <v>115</v>
      </c>
      <c r="C315" t="s">
        <v>963</v>
      </c>
      <c r="D315" t="s">
        <v>481</v>
      </c>
      <c r="E315" t="s">
        <v>78</v>
      </c>
      <c r="F315">
        <v>7876</v>
      </c>
      <c r="G315" t="s">
        <v>44</v>
      </c>
      <c r="H315" t="s">
        <v>18</v>
      </c>
      <c r="I315" t="s">
        <v>19</v>
      </c>
      <c r="J315" t="s">
        <v>46</v>
      </c>
      <c r="K315" t="s">
        <v>37</v>
      </c>
      <c r="L315" t="s">
        <v>38</v>
      </c>
      <c r="M315">
        <f t="shared" si="12"/>
        <v>8</v>
      </c>
      <c r="N315" t="str">
        <f t="shared" si="13"/>
        <v>Low</v>
      </c>
      <c r="O315">
        <f t="shared" si="14"/>
        <v>30</v>
      </c>
    </row>
    <row r="316" spans="1:15" x14ac:dyDescent="0.3">
      <c r="A316" t="s">
        <v>964</v>
      </c>
      <c r="B316" t="s">
        <v>172</v>
      </c>
      <c r="C316" t="s">
        <v>965</v>
      </c>
      <c r="D316" t="s">
        <v>873</v>
      </c>
      <c r="E316" t="s">
        <v>16</v>
      </c>
      <c r="F316">
        <v>37451</v>
      </c>
      <c r="G316" t="s">
        <v>44</v>
      </c>
      <c r="H316" t="s">
        <v>105</v>
      </c>
      <c r="I316" t="s">
        <v>19</v>
      </c>
      <c r="J316" t="s">
        <v>20</v>
      </c>
      <c r="K316" t="s">
        <v>57</v>
      </c>
      <c r="L316" t="s">
        <v>22</v>
      </c>
      <c r="M316">
        <f t="shared" si="12"/>
        <v>1</v>
      </c>
      <c r="N316" t="str">
        <f t="shared" si="13"/>
        <v>High</v>
      </c>
      <c r="O316">
        <f t="shared" si="14"/>
        <v>95</v>
      </c>
    </row>
    <row r="317" spans="1:15" x14ac:dyDescent="0.3">
      <c r="A317" t="s">
        <v>966</v>
      </c>
      <c r="B317" t="s">
        <v>127</v>
      </c>
      <c r="C317" t="s">
        <v>967</v>
      </c>
      <c r="D317" t="s">
        <v>320</v>
      </c>
      <c r="E317" t="s">
        <v>16</v>
      </c>
      <c r="F317">
        <v>2530</v>
      </c>
      <c r="G317" t="s">
        <v>35</v>
      </c>
      <c r="H317" t="s">
        <v>27</v>
      </c>
      <c r="I317" t="s">
        <v>19</v>
      </c>
      <c r="J317" t="s">
        <v>95</v>
      </c>
      <c r="K317" t="s">
        <v>96</v>
      </c>
      <c r="L317" t="s">
        <v>38</v>
      </c>
      <c r="M317">
        <f t="shared" si="12"/>
        <v>19</v>
      </c>
      <c r="N317" t="str">
        <f t="shared" si="13"/>
        <v>Low</v>
      </c>
      <c r="O317">
        <f t="shared" si="14"/>
        <v>40</v>
      </c>
    </row>
    <row r="318" spans="1:15" x14ac:dyDescent="0.3">
      <c r="A318" t="s">
        <v>968</v>
      </c>
      <c r="B318" t="s">
        <v>969</v>
      </c>
      <c r="C318" t="s">
        <v>970</v>
      </c>
      <c r="D318" t="s">
        <v>108</v>
      </c>
      <c r="E318" t="s">
        <v>51</v>
      </c>
      <c r="F318">
        <v>6341</v>
      </c>
      <c r="G318" t="s">
        <v>63</v>
      </c>
      <c r="H318" t="s">
        <v>113</v>
      </c>
      <c r="I318" t="s">
        <v>19</v>
      </c>
      <c r="J318" t="s">
        <v>46</v>
      </c>
      <c r="K318" t="s">
        <v>37</v>
      </c>
      <c r="L318" t="s">
        <v>38</v>
      </c>
      <c r="M318">
        <f t="shared" si="12"/>
        <v>17</v>
      </c>
      <c r="N318" t="str">
        <f t="shared" si="13"/>
        <v>Low</v>
      </c>
      <c r="O318">
        <f t="shared" si="14"/>
        <v>30</v>
      </c>
    </row>
    <row r="319" spans="1:15" x14ac:dyDescent="0.3">
      <c r="A319" t="s">
        <v>971</v>
      </c>
      <c r="B319" t="s">
        <v>309</v>
      </c>
      <c r="C319" t="s">
        <v>287</v>
      </c>
      <c r="D319" t="s">
        <v>196</v>
      </c>
      <c r="E319" t="s">
        <v>34</v>
      </c>
      <c r="F319">
        <v>9896</v>
      </c>
      <c r="G319" t="s">
        <v>79</v>
      </c>
      <c r="H319" t="s">
        <v>52</v>
      </c>
      <c r="I319" t="s">
        <v>19</v>
      </c>
      <c r="J319" t="s">
        <v>95</v>
      </c>
      <c r="K319" t="s">
        <v>21</v>
      </c>
      <c r="L319" t="s">
        <v>38</v>
      </c>
      <c r="M319">
        <f t="shared" si="12"/>
        <v>15</v>
      </c>
      <c r="N319" t="str">
        <f t="shared" si="13"/>
        <v>Low</v>
      </c>
      <c r="O319">
        <f t="shared" si="14"/>
        <v>10</v>
      </c>
    </row>
    <row r="320" spans="1:15" x14ac:dyDescent="0.3">
      <c r="A320" t="s">
        <v>972</v>
      </c>
      <c r="B320" t="s">
        <v>209</v>
      </c>
      <c r="C320" t="s">
        <v>583</v>
      </c>
      <c r="D320" t="s">
        <v>617</v>
      </c>
      <c r="E320" t="s">
        <v>94</v>
      </c>
      <c r="F320">
        <v>6468</v>
      </c>
      <c r="G320" t="s">
        <v>68</v>
      </c>
      <c r="H320" t="s">
        <v>27</v>
      </c>
      <c r="I320" t="s">
        <v>28</v>
      </c>
      <c r="J320" t="s">
        <v>20</v>
      </c>
      <c r="K320" t="s">
        <v>57</v>
      </c>
      <c r="L320" t="s">
        <v>38</v>
      </c>
      <c r="M320">
        <f t="shared" si="12"/>
        <v>15</v>
      </c>
      <c r="N320" t="str">
        <f t="shared" si="13"/>
        <v>Low</v>
      </c>
      <c r="O320">
        <f t="shared" si="14"/>
        <v>10</v>
      </c>
    </row>
    <row r="321" spans="1:15" x14ac:dyDescent="0.3">
      <c r="A321" t="s">
        <v>973</v>
      </c>
      <c r="B321" t="s">
        <v>695</v>
      </c>
      <c r="C321" t="s">
        <v>974</v>
      </c>
      <c r="D321" t="s">
        <v>744</v>
      </c>
      <c r="E321" t="s">
        <v>16</v>
      </c>
      <c r="F321">
        <v>9780</v>
      </c>
      <c r="G321" t="s">
        <v>79</v>
      </c>
      <c r="H321" t="s">
        <v>45</v>
      </c>
      <c r="I321" t="s">
        <v>19</v>
      </c>
      <c r="J321" t="s">
        <v>20</v>
      </c>
      <c r="K321" t="s">
        <v>57</v>
      </c>
      <c r="L321" t="s">
        <v>38</v>
      </c>
      <c r="M321">
        <f t="shared" si="12"/>
        <v>8</v>
      </c>
      <c r="N321" t="str">
        <f t="shared" si="13"/>
        <v>Low</v>
      </c>
      <c r="O321">
        <f t="shared" si="14"/>
        <v>40</v>
      </c>
    </row>
    <row r="322" spans="1:15" x14ac:dyDescent="0.3">
      <c r="A322" t="s">
        <v>975</v>
      </c>
      <c r="B322" t="s">
        <v>256</v>
      </c>
      <c r="C322" t="s">
        <v>976</v>
      </c>
      <c r="D322" t="s">
        <v>33</v>
      </c>
      <c r="E322" t="s">
        <v>34</v>
      </c>
      <c r="F322">
        <v>11239</v>
      </c>
      <c r="G322" t="s">
        <v>68</v>
      </c>
      <c r="H322" t="s">
        <v>18</v>
      </c>
      <c r="I322" t="s">
        <v>19</v>
      </c>
      <c r="J322" t="s">
        <v>46</v>
      </c>
      <c r="K322" t="s">
        <v>21</v>
      </c>
      <c r="L322" t="s">
        <v>38</v>
      </c>
      <c r="M322">
        <f t="shared" ref="M322:M385" si="15">HOUR(C322)</f>
        <v>11</v>
      </c>
      <c r="N322" t="str">
        <f t="shared" ref="N322:N385" si="16">IF(L322="Yes","High","Low")</f>
        <v>Low</v>
      </c>
      <c r="O322">
        <f t="shared" ref="O322:O385" si="17">IF(F322&gt;20000,50,10)+IF(J322="Failed",20,0)+IF(E322="Unknown",30,0)+IF(M322&lt;5,15,0)</f>
        <v>30</v>
      </c>
    </row>
    <row r="323" spans="1:15" x14ac:dyDescent="0.3">
      <c r="A323" t="s">
        <v>977</v>
      </c>
      <c r="B323" t="s">
        <v>755</v>
      </c>
      <c r="C323" t="s">
        <v>624</v>
      </c>
      <c r="D323" t="s">
        <v>121</v>
      </c>
      <c r="E323" t="s">
        <v>34</v>
      </c>
      <c r="F323">
        <v>702</v>
      </c>
      <c r="G323" t="s">
        <v>63</v>
      </c>
      <c r="H323" t="s">
        <v>52</v>
      </c>
      <c r="I323" t="s">
        <v>28</v>
      </c>
      <c r="J323" t="s">
        <v>46</v>
      </c>
      <c r="K323" t="s">
        <v>57</v>
      </c>
      <c r="L323" t="s">
        <v>38</v>
      </c>
      <c r="M323">
        <f t="shared" si="15"/>
        <v>7</v>
      </c>
      <c r="N323" t="str">
        <f t="shared" si="16"/>
        <v>Low</v>
      </c>
      <c r="O323">
        <f t="shared" si="17"/>
        <v>30</v>
      </c>
    </row>
    <row r="324" spans="1:15" x14ac:dyDescent="0.3">
      <c r="A324" t="s">
        <v>978</v>
      </c>
      <c r="B324" t="s">
        <v>370</v>
      </c>
      <c r="C324" t="s">
        <v>979</v>
      </c>
      <c r="D324" t="s">
        <v>980</v>
      </c>
      <c r="E324" t="s">
        <v>16</v>
      </c>
      <c r="F324">
        <v>40012</v>
      </c>
      <c r="G324" t="s">
        <v>35</v>
      </c>
      <c r="H324" t="s">
        <v>18</v>
      </c>
      <c r="I324" t="s">
        <v>19</v>
      </c>
      <c r="J324" t="s">
        <v>20</v>
      </c>
      <c r="K324" t="s">
        <v>69</v>
      </c>
      <c r="L324" t="s">
        <v>22</v>
      </c>
      <c r="M324">
        <f t="shared" si="15"/>
        <v>2</v>
      </c>
      <c r="N324" t="str">
        <f t="shared" si="16"/>
        <v>High</v>
      </c>
      <c r="O324">
        <f t="shared" si="17"/>
        <v>95</v>
      </c>
    </row>
    <row r="325" spans="1:15" x14ac:dyDescent="0.3">
      <c r="A325" t="s">
        <v>981</v>
      </c>
      <c r="B325" t="s">
        <v>739</v>
      </c>
      <c r="C325" t="s">
        <v>982</v>
      </c>
      <c r="D325" t="s">
        <v>93</v>
      </c>
      <c r="E325" t="s">
        <v>62</v>
      </c>
      <c r="F325">
        <v>9658</v>
      </c>
      <c r="G325" t="s">
        <v>68</v>
      </c>
      <c r="H325" t="s">
        <v>27</v>
      </c>
      <c r="I325" t="s">
        <v>19</v>
      </c>
      <c r="J325" t="s">
        <v>95</v>
      </c>
      <c r="K325" t="s">
        <v>29</v>
      </c>
      <c r="L325" t="s">
        <v>38</v>
      </c>
      <c r="M325">
        <f t="shared" si="15"/>
        <v>8</v>
      </c>
      <c r="N325" t="str">
        <f t="shared" si="16"/>
        <v>Low</v>
      </c>
      <c r="O325">
        <f t="shared" si="17"/>
        <v>10</v>
      </c>
    </row>
    <row r="326" spans="1:15" x14ac:dyDescent="0.3">
      <c r="A326" t="s">
        <v>983</v>
      </c>
      <c r="B326" t="s">
        <v>98</v>
      </c>
      <c r="C326" t="s">
        <v>984</v>
      </c>
      <c r="D326" t="s">
        <v>327</v>
      </c>
      <c r="E326" t="s">
        <v>16</v>
      </c>
      <c r="F326">
        <v>27212</v>
      </c>
      <c r="G326" t="s">
        <v>68</v>
      </c>
      <c r="H326" t="s">
        <v>105</v>
      </c>
      <c r="I326" t="s">
        <v>19</v>
      </c>
      <c r="J326" t="s">
        <v>20</v>
      </c>
      <c r="K326" t="s">
        <v>80</v>
      </c>
      <c r="L326" t="s">
        <v>22</v>
      </c>
      <c r="M326">
        <f t="shared" si="15"/>
        <v>2</v>
      </c>
      <c r="N326" t="str">
        <f t="shared" si="16"/>
        <v>High</v>
      </c>
      <c r="O326">
        <f t="shared" si="17"/>
        <v>95</v>
      </c>
    </row>
    <row r="327" spans="1:15" x14ac:dyDescent="0.3">
      <c r="A327" t="s">
        <v>985</v>
      </c>
      <c r="B327" t="s">
        <v>845</v>
      </c>
      <c r="C327" t="s">
        <v>986</v>
      </c>
      <c r="D327" t="s">
        <v>215</v>
      </c>
      <c r="E327" t="s">
        <v>16</v>
      </c>
      <c r="F327">
        <v>5730</v>
      </c>
      <c r="G327" t="s">
        <v>63</v>
      </c>
      <c r="H327" t="s">
        <v>113</v>
      </c>
      <c r="I327" t="s">
        <v>28</v>
      </c>
      <c r="J327" t="s">
        <v>95</v>
      </c>
      <c r="K327" t="s">
        <v>29</v>
      </c>
      <c r="L327" t="s">
        <v>38</v>
      </c>
      <c r="M327">
        <f t="shared" si="15"/>
        <v>22</v>
      </c>
      <c r="N327" t="str">
        <f t="shared" si="16"/>
        <v>Low</v>
      </c>
      <c r="O327">
        <f t="shared" si="17"/>
        <v>40</v>
      </c>
    </row>
    <row r="328" spans="1:15" x14ac:dyDescent="0.3">
      <c r="A328" t="s">
        <v>987</v>
      </c>
      <c r="B328" t="s">
        <v>633</v>
      </c>
      <c r="C328" t="s">
        <v>988</v>
      </c>
      <c r="D328" t="s">
        <v>467</v>
      </c>
      <c r="E328" t="s">
        <v>62</v>
      </c>
      <c r="F328">
        <v>1984</v>
      </c>
      <c r="G328" t="s">
        <v>79</v>
      </c>
      <c r="H328" t="s">
        <v>18</v>
      </c>
      <c r="I328" t="s">
        <v>28</v>
      </c>
      <c r="J328" t="s">
        <v>46</v>
      </c>
      <c r="K328" t="s">
        <v>80</v>
      </c>
      <c r="L328" t="s">
        <v>38</v>
      </c>
      <c r="M328">
        <f t="shared" si="15"/>
        <v>6</v>
      </c>
      <c r="N328" t="str">
        <f t="shared" si="16"/>
        <v>Low</v>
      </c>
      <c r="O328">
        <f t="shared" si="17"/>
        <v>30</v>
      </c>
    </row>
    <row r="329" spans="1:15" x14ac:dyDescent="0.3">
      <c r="A329" t="s">
        <v>989</v>
      </c>
      <c r="B329" t="s">
        <v>871</v>
      </c>
      <c r="C329" t="s">
        <v>990</v>
      </c>
      <c r="D329" t="s">
        <v>991</v>
      </c>
      <c r="E329" t="s">
        <v>16</v>
      </c>
      <c r="F329">
        <v>79663</v>
      </c>
      <c r="G329" t="s">
        <v>35</v>
      </c>
      <c r="H329" t="s">
        <v>85</v>
      </c>
      <c r="I329" t="s">
        <v>19</v>
      </c>
      <c r="J329" t="s">
        <v>46</v>
      </c>
      <c r="K329" t="s">
        <v>37</v>
      </c>
      <c r="L329" t="s">
        <v>22</v>
      </c>
      <c r="M329">
        <f t="shared" si="15"/>
        <v>23</v>
      </c>
      <c r="N329" t="str">
        <f t="shared" si="16"/>
        <v>High</v>
      </c>
      <c r="O329">
        <f t="shared" si="17"/>
        <v>100</v>
      </c>
    </row>
    <row r="330" spans="1:15" x14ac:dyDescent="0.3">
      <c r="A330" t="s">
        <v>992</v>
      </c>
      <c r="B330" t="s">
        <v>993</v>
      </c>
      <c r="C330" t="s">
        <v>994</v>
      </c>
      <c r="D330" t="s">
        <v>409</v>
      </c>
      <c r="E330" t="s">
        <v>78</v>
      </c>
      <c r="F330">
        <v>14701</v>
      </c>
      <c r="G330" t="s">
        <v>68</v>
      </c>
      <c r="H330" t="s">
        <v>105</v>
      </c>
      <c r="I330" t="s">
        <v>19</v>
      </c>
      <c r="J330" t="s">
        <v>95</v>
      </c>
      <c r="K330" t="s">
        <v>69</v>
      </c>
      <c r="L330" t="s">
        <v>38</v>
      </c>
      <c r="M330">
        <f t="shared" si="15"/>
        <v>9</v>
      </c>
      <c r="N330" t="str">
        <f t="shared" si="16"/>
        <v>Low</v>
      </c>
      <c r="O330">
        <f t="shared" si="17"/>
        <v>10</v>
      </c>
    </row>
    <row r="331" spans="1:15" x14ac:dyDescent="0.3">
      <c r="A331" t="s">
        <v>995</v>
      </c>
      <c r="B331" t="s">
        <v>168</v>
      </c>
      <c r="C331" t="s">
        <v>996</v>
      </c>
      <c r="D331" t="s">
        <v>117</v>
      </c>
      <c r="E331" t="s">
        <v>16</v>
      </c>
      <c r="F331">
        <v>67707</v>
      </c>
      <c r="G331" t="s">
        <v>44</v>
      </c>
      <c r="H331" t="s">
        <v>105</v>
      </c>
      <c r="I331" t="s">
        <v>28</v>
      </c>
      <c r="J331" t="s">
        <v>20</v>
      </c>
      <c r="K331" t="s">
        <v>29</v>
      </c>
      <c r="L331" t="s">
        <v>22</v>
      </c>
      <c r="M331">
        <f t="shared" si="15"/>
        <v>3</v>
      </c>
      <c r="N331" t="str">
        <f t="shared" si="16"/>
        <v>High</v>
      </c>
      <c r="O331">
        <f t="shared" si="17"/>
        <v>95</v>
      </c>
    </row>
    <row r="332" spans="1:15" x14ac:dyDescent="0.3">
      <c r="A332" t="s">
        <v>997</v>
      </c>
      <c r="B332" t="s">
        <v>190</v>
      </c>
      <c r="C332" t="s">
        <v>998</v>
      </c>
      <c r="D332" t="s">
        <v>999</v>
      </c>
      <c r="E332" t="s">
        <v>62</v>
      </c>
      <c r="F332">
        <v>11851</v>
      </c>
      <c r="G332" t="s">
        <v>63</v>
      </c>
      <c r="H332" t="s">
        <v>45</v>
      </c>
      <c r="I332" t="s">
        <v>19</v>
      </c>
      <c r="J332" t="s">
        <v>20</v>
      </c>
      <c r="K332" t="s">
        <v>21</v>
      </c>
      <c r="L332" t="s">
        <v>38</v>
      </c>
      <c r="M332">
        <f t="shared" si="15"/>
        <v>16</v>
      </c>
      <c r="N332" t="str">
        <f t="shared" si="16"/>
        <v>Low</v>
      </c>
      <c r="O332">
        <f t="shared" si="17"/>
        <v>10</v>
      </c>
    </row>
    <row r="333" spans="1:15" x14ac:dyDescent="0.3">
      <c r="A333" t="s">
        <v>1000</v>
      </c>
      <c r="B333" t="s">
        <v>377</v>
      </c>
      <c r="C333" t="s">
        <v>1001</v>
      </c>
      <c r="D333" t="s">
        <v>335</v>
      </c>
      <c r="E333" t="s">
        <v>43</v>
      </c>
      <c r="F333">
        <v>13228</v>
      </c>
      <c r="G333" t="s">
        <v>44</v>
      </c>
      <c r="H333" t="s">
        <v>85</v>
      </c>
      <c r="I333" t="s">
        <v>28</v>
      </c>
      <c r="J333" t="s">
        <v>46</v>
      </c>
      <c r="K333" t="s">
        <v>69</v>
      </c>
      <c r="L333" t="s">
        <v>38</v>
      </c>
      <c r="M333">
        <f t="shared" si="15"/>
        <v>22</v>
      </c>
      <c r="N333" t="str">
        <f t="shared" si="16"/>
        <v>Low</v>
      </c>
      <c r="O333">
        <f t="shared" si="17"/>
        <v>30</v>
      </c>
    </row>
    <row r="334" spans="1:15" x14ac:dyDescent="0.3">
      <c r="A334" t="s">
        <v>1002</v>
      </c>
      <c r="B334" t="s">
        <v>452</v>
      </c>
      <c r="C334" t="s">
        <v>279</v>
      </c>
      <c r="D334" t="s">
        <v>1003</v>
      </c>
      <c r="E334" t="s">
        <v>16</v>
      </c>
      <c r="F334">
        <v>79866</v>
      </c>
      <c r="G334" t="s">
        <v>79</v>
      </c>
      <c r="H334" t="s">
        <v>52</v>
      </c>
      <c r="I334" t="s">
        <v>28</v>
      </c>
      <c r="J334" t="s">
        <v>46</v>
      </c>
      <c r="K334" t="s">
        <v>80</v>
      </c>
      <c r="L334" t="s">
        <v>22</v>
      </c>
      <c r="M334">
        <f t="shared" si="15"/>
        <v>0</v>
      </c>
      <c r="N334" t="str">
        <f t="shared" si="16"/>
        <v>High</v>
      </c>
      <c r="O334">
        <f t="shared" si="17"/>
        <v>115</v>
      </c>
    </row>
    <row r="335" spans="1:15" x14ac:dyDescent="0.3">
      <c r="A335" t="s">
        <v>1004</v>
      </c>
      <c r="B335" t="s">
        <v>168</v>
      </c>
      <c r="C335" t="s">
        <v>724</v>
      </c>
      <c r="D335" t="s">
        <v>378</v>
      </c>
      <c r="E335" t="s">
        <v>34</v>
      </c>
      <c r="F335">
        <v>9744</v>
      </c>
      <c r="G335" t="s">
        <v>17</v>
      </c>
      <c r="H335" t="s">
        <v>27</v>
      </c>
      <c r="I335" t="s">
        <v>19</v>
      </c>
      <c r="J335" t="s">
        <v>20</v>
      </c>
      <c r="K335" t="s">
        <v>96</v>
      </c>
      <c r="L335" t="s">
        <v>38</v>
      </c>
      <c r="M335">
        <f t="shared" si="15"/>
        <v>21</v>
      </c>
      <c r="N335" t="str">
        <f t="shared" si="16"/>
        <v>Low</v>
      </c>
      <c r="O335">
        <f t="shared" si="17"/>
        <v>10</v>
      </c>
    </row>
    <row r="336" spans="1:15" x14ac:dyDescent="0.3">
      <c r="A336" t="s">
        <v>1005</v>
      </c>
      <c r="B336" t="s">
        <v>649</v>
      </c>
      <c r="C336" t="s">
        <v>1006</v>
      </c>
      <c r="D336" t="s">
        <v>1007</v>
      </c>
      <c r="E336" t="s">
        <v>62</v>
      </c>
      <c r="F336">
        <v>5725</v>
      </c>
      <c r="G336" t="s">
        <v>35</v>
      </c>
      <c r="H336" t="s">
        <v>36</v>
      </c>
      <c r="I336" t="s">
        <v>28</v>
      </c>
      <c r="J336" t="s">
        <v>20</v>
      </c>
      <c r="K336" t="s">
        <v>96</v>
      </c>
      <c r="L336" t="s">
        <v>38</v>
      </c>
      <c r="M336">
        <f t="shared" si="15"/>
        <v>6</v>
      </c>
      <c r="N336" t="str">
        <f t="shared" si="16"/>
        <v>Low</v>
      </c>
      <c r="O336">
        <f t="shared" si="17"/>
        <v>10</v>
      </c>
    </row>
    <row r="337" spans="1:15" x14ac:dyDescent="0.3">
      <c r="A337" t="s">
        <v>1008</v>
      </c>
      <c r="B337" t="s">
        <v>742</v>
      </c>
      <c r="C337" t="s">
        <v>1009</v>
      </c>
      <c r="D337" t="s">
        <v>1010</v>
      </c>
      <c r="E337" t="s">
        <v>43</v>
      </c>
      <c r="F337">
        <v>6928</v>
      </c>
      <c r="G337" t="s">
        <v>35</v>
      </c>
      <c r="H337" t="s">
        <v>52</v>
      </c>
      <c r="I337" t="s">
        <v>19</v>
      </c>
      <c r="J337" t="s">
        <v>20</v>
      </c>
      <c r="K337" t="s">
        <v>96</v>
      </c>
      <c r="L337" t="s">
        <v>38</v>
      </c>
      <c r="M337">
        <f t="shared" si="15"/>
        <v>21</v>
      </c>
      <c r="N337" t="str">
        <f t="shared" si="16"/>
        <v>Low</v>
      </c>
      <c r="O337">
        <f t="shared" si="17"/>
        <v>10</v>
      </c>
    </row>
    <row r="338" spans="1:15" x14ac:dyDescent="0.3">
      <c r="A338" t="s">
        <v>1011</v>
      </c>
      <c r="B338" t="s">
        <v>483</v>
      </c>
      <c r="C338" t="s">
        <v>1012</v>
      </c>
      <c r="D338" t="s">
        <v>1013</v>
      </c>
      <c r="E338" t="s">
        <v>51</v>
      </c>
      <c r="F338">
        <v>14723</v>
      </c>
      <c r="G338" t="s">
        <v>17</v>
      </c>
      <c r="H338" t="s">
        <v>18</v>
      </c>
      <c r="I338" t="s">
        <v>19</v>
      </c>
      <c r="J338" t="s">
        <v>95</v>
      </c>
      <c r="K338" t="s">
        <v>80</v>
      </c>
      <c r="L338" t="s">
        <v>38</v>
      </c>
      <c r="M338">
        <f t="shared" si="15"/>
        <v>17</v>
      </c>
      <c r="N338" t="str">
        <f t="shared" si="16"/>
        <v>Low</v>
      </c>
      <c r="O338">
        <f t="shared" si="17"/>
        <v>10</v>
      </c>
    </row>
    <row r="339" spans="1:15" x14ac:dyDescent="0.3">
      <c r="A339" t="s">
        <v>1014</v>
      </c>
      <c r="B339" t="s">
        <v>960</v>
      </c>
      <c r="C339" t="s">
        <v>1015</v>
      </c>
      <c r="D339" t="s">
        <v>292</v>
      </c>
      <c r="E339" t="s">
        <v>94</v>
      </c>
      <c r="F339">
        <v>1070</v>
      </c>
      <c r="G339" t="s">
        <v>44</v>
      </c>
      <c r="H339" t="s">
        <v>52</v>
      </c>
      <c r="I339" t="s">
        <v>28</v>
      </c>
      <c r="J339" t="s">
        <v>20</v>
      </c>
      <c r="K339" t="s">
        <v>69</v>
      </c>
      <c r="L339" t="s">
        <v>38</v>
      </c>
      <c r="M339">
        <f t="shared" si="15"/>
        <v>19</v>
      </c>
      <c r="N339" t="str">
        <f t="shared" si="16"/>
        <v>Low</v>
      </c>
      <c r="O339">
        <f t="shared" si="17"/>
        <v>10</v>
      </c>
    </row>
    <row r="340" spans="1:15" x14ac:dyDescent="0.3">
      <c r="A340" t="s">
        <v>1016</v>
      </c>
      <c r="B340" t="s">
        <v>1017</v>
      </c>
      <c r="C340" t="s">
        <v>852</v>
      </c>
      <c r="D340" t="s">
        <v>537</v>
      </c>
      <c r="E340" t="s">
        <v>62</v>
      </c>
      <c r="F340">
        <v>12098</v>
      </c>
      <c r="G340" t="s">
        <v>35</v>
      </c>
      <c r="H340" t="s">
        <v>27</v>
      </c>
      <c r="I340" t="s">
        <v>19</v>
      </c>
      <c r="J340" t="s">
        <v>46</v>
      </c>
      <c r="K340" t="s">
        <v>29</v>
      </c>
      <c r="L340" t="s">
        <v>38</v>
      </c>
      <c r="M340">
        <f t="shared" si="15"/>
        <v>16</v>
      </c>
      <c r="N340" t="str">
        <f t="shared" si="16"/>
        <v>Low</v>
      </c>
      <c r="O340">
        <f t="shared" si="17"/>
        <v>30</v>
      </c>
    </row>
    <row r="341" spans="1:15" x14ac:dyDescent="0.3">
      <c r="A341" t="s">
        <v>1018</v>
      </c>
      <c r="B341" t="s">
        <v>187</v>
      </c>
      <c r="C341" t="s">
        <v>1019</v>
      </c>
      <c r="D341" t="s">
        <v>1020</v>
      </c>
      <c r="E341" t="s">
        <v>16</v>
      </c>
      <c r="F341">
        <v>33848</v>
      </c>
      <c r="G341" t="s">
        <v>79</v>
      </c>
      <c r="H341" t="s">
        <v>45</v>
      </c>
      <c r="I341" t="s">
        <v>28</v>
      </c>
      <c r="J341" t="s">
        <v>46</v>
      </c>
      <c r="K341" t="s">
        <v>96</v>
      </c>
      <c r="L341" t="s">
        <v>22</v>
      </c>
      <c r="M341">
        <f t="shared" si="15"/>
        <v>1</v>
      </c>
      <c r="N341" t="str">
        <f t="shared" si="16"/>
        <v>High</v>
      </c>
      <c r="O341">
        <f t="shared" si="17"/>
        <v>115</v>
      </c>
    </row>
    <row r="342" spans="1:15" x14ac:dyDescent="0.3">
      <c r="A342" t="s">
        <v>1021</v>
      </c>
      <c r="B342" t="s">
        <v>1022</v>
      </c>
      <c r="C342" t="s">
        <v>1023</v>
      </c>
      <c r="D342" t="s">
        <v>125</v>
      </c>
      <c r="E342" t="s">
        <v>62</v>
      </c>
      <c r="F342">
        <v>3451</v>
      </c>
      <c r="G342" t="s">
        <v>63</v>
      </c>
      <c r="H342" t="s">
        <v>18</v>
      </c>
      <c r="I342" t="s">
        <v>19</v>
      </c>
      <c r="J342" t="s">
        <v>46</v>
      </c>
      <c r="K342" t="s">
        <v>29</v>
      </c>
      <c r="L342" t="s">
        <v>38</v>
      </c>
      <c r="M342">
        <f t="shared" si="15"/>
        <v>20</v>
      </c>
      <c r="N342" t="str">
        <f t="shared" si="16"/>
        <v>Low</v>
      </c>
      <c r="O342">
        <f t="shared" si="17"/>
        <v>30</v>
      </c>
    </row>
    <row r="343" spans="1:15" x14ac:dyDescent="0.3">
      <c r="A343" t="s">
        <v>1024</v>
      </c>
      <c r="B343" t="s">
        <v>337</v>
      </c>
      <c r="C343" t="s">
        <v>1025</v>
      </c>
      <c r="D343" t="s">
        <v>945</v>
      </c>
      <c r="E343" t="s">
        <v>78</v>
      </c>
      <c r="F343">
        <v>11467</v>
      </c>
      <c r="G343" t="s">
        <v>17</v>
      </c>
      <c r="H343" t="s">
        <v>18</v>
      </c>
      <c r="I343" t="s">
        <v>19</v>
      </c>
      <c r="J343" t="s">
        <v>46</v>
      </c>
      <c r="K343" t="s">
        <v>37</v>
      </c>
      <c r="L343" t="s">
        <v>38</v>
      </c>
      <c r="M343">
        <f t="shared" si="15"/>
        <v>7</v>
      </c>
      <c r="N343" t="str">
        <f t="shared" si="16"/>
        <v>Low</v>
      </c>
      <c r="O343">
        <f t="shared" si="17"/>
        <v>30</v>
      </c>
    </row>
    <row r="344" spans="1:15" x14ac:dyDescent="0.3">
      <c r="A344" t="s">
        <v>1026</v>
      </c>
      <c r="B344" t="s">
        <v>373</v>
      </c>
      <c r="C344" t="s">
        <v>1027</v>
      </c>
      <c r="D344" t="s">
        <v>1028</v>
      </c>
      <c r="E344" t="s">
        <v>16</v>
      </c>
      <c r="F344">
        <v>59169</v>
      </c>
      <c r="G344" t="s">
        <v>63</v>
      </c>
      <c r="H344" t="s">
        <v>36</v>
      </c>
      <c r="I344" t="s">
        <v>28</v>
      </c>
      <c r="J344" t="s">
        <v>20</v>
      </c>
      <c r="K344" t="s">
        <v>21</v>
      </c>
      <c r="L344" t="s">
        <v>22</v>
      </c>
      <c r="M344">
        <f t="shared" si="15"/>
        <v>2</v>
      </c>
      <c r="N344" t="str">
        <f t="shared" si="16"/>
        <v>High</v>
      </c>
      <c r="O344">
        <f t="shared" si="17"/>
        <v>95</v>
      </c>
    </row>
    <row r="345" spans="1:15" x14ac:dyDescent="0.3">
      <c r="A345" t="s">
        <v>1029</v>
      </c>
      <c r="B345" t="s">
        <v>1030</v>
      </c>
      <c r="C345" t="s">
        <v>1031</v>
      </c>
      <c r="D345" t="s">
        <v>215</v>
      </c>
      <c r="E345" t="s">
        <v>34</v>
      </c>
      <c r="F345">
        <v>7620</v>
      </c>
      <c r="G345" t="s">
        <v>35</v>
      </c>
      <c r="H345" t="s">
        <v>105</v>
      </c>
      <c r="I345" t="s">
        <v>19</v>
      </c>
      <c r="J345" t="s">
        <v>20</v>
      </c>
      <c r="K345" t="s">
        <v>69</v>
      </c>
      <c r="L345" t="s">
        <v>38</v>
      </c>
      <c r="M345">
        <f t="shared" si="15"/>
        <v>9</v>
      </c>
      <c r="N345" t="str">
        <f t="shared" si="16"/>
        <v>Low</v>
      </c>
      <c r="O345">
        <f t="shared" si="17"/>
        <v>10</v>
      </c>
    </row>
    <row r="346" spans="1:15" x14ac:dyDescent="0.3">
      <c r="A346" t="s">
        <v>1032</v>
      </c>
      <c r="B346" t="s">
        <v>474</v>
      </c>
      <c r="C346" t="s">
        <v>1033</v>
      </c>
      <c r="D346" t="s">
        <v>954</v>
      </c>
      <c r="E346" t="s">
        <v>94</v>
      </c>
      <c r="F346">
        <v>6613</v>
      </c>
      <c r="G346" t="s">
        <v>68</v>
      </c>
      <c r="H346" t="s">
        <v>18</v>
      </c>
      <c r="I346" t="s">
        <v>28</v>
      </c>
      <c r="J346" t="s">
        <v>95</v>
      </c>
      <c r="K346" t="s">
        <v>69</v>
      </c>
      <c r="L346" t="s">
        <v>38</v>
      </c>
      <c r="M346">
        <f t="shared" si="15"/>
        <v>17</v>
      </c>
      <c r="N346" t="str">
        <f t="shared" si="16"/>
        <v>Low</v>
      </c>
      <c r="O346">
        <f t="shared" si="17"/>
        <v>10</v>
      </c>
    </row>
    <row r="347" spans="1:15" x14ac:dyDescent="0.3">
      <c r="A347" t="s">
        <v>1034</v>
      </c>
      <c r="B347" t="s">
        <v>1035</v>
      </c>
      <c r="C347" t="s">
        <v>1036</v>
      </c>
      <c r="D347" t="s">
        <v>855</v>
      </c>
      <c r="E347" t="s">
        <v>34</v>
      </c>
      <c r="F347">
        <v>3289</v>
      </c>
      <c r="G347" t="s">
        <v>17</v>
      </c>
      <c r="H347" t="s">
        <v>45</v>
      </c>
      <c r="I347" t="s">
        <v>19</v>
      </c>
      <c r="J347" t="s">
        <v>20</v>
      </c>
      <c r="K347" t="s">
        <v>96</v>
      </c>
      <c r="L347" t="s">
        <v>38</v>
      </c>
      <c r="M347">
        <f t="shared" si="15"/>
        <v>20</v>
      </c>
      <c r="N347" t="str">
        <f t="shared" si="16"/>
        <v>Low</v>
      </c>
      <c r="O347">
        <f t="shared" si="17"/>
        <v>10</v>
      </c>
    </row>
    <row r="348" spans="1:15" x14ac:dyDescent="0.3">
      <c r="A348" t="s">
        <v>1037</v>
      </c>
      <c r="B348" t="s">
        <v>606</v>
      </c>
      <c r="C348" t="s">
        <v>1038</v>
      </c>
      <c r="D348" t="s">
        <v>292</v>
      </c>
      <c r="E348" t="s">
        <v>34</v>
      </c>
      <c r="F348">
        <v>9452</v>
      </c>
      <c r="G348" t="s">
        <v>63</v>
      </c>
      <c r="H348" t="s">
        <v>85</v>
      </c>
      <c r="I348" t="s">
        <v>19</v>
      </c>
      <c r="J348" t="s">
        <v>95</v>
      </c>
      <c r="K348" t="s">
        <v>57</v>
      </c>
      <c r="L348" t="s">
        <v>38</v>
      </c>
      <c r="M348">
        <f t="shared" si="15"/>
        <v>19</v>
      </c>
      <c r="N348" t="str">
        <f t="shared" si="16"/>
        <v>Low</v>
      </c>
      <c r="O348">
        <f t="shared" si="17"/>
        <v>10</v>
      </c>
    </row>
    <row r="349" spans="1:15" x14ac:dyDescent="0.3">
      <c r="A349" t="s">
        <v>1039</v>
      </c>
      <c r="B349" t="s">
        <v>82</v>
      </c>
      <c r="C349" t="s">
        <v>1040</v>
      </c>
      <c r="D349" t="s">
        <v>1041</v>
      </c>
      <c r="E349" t="s">
        <v>62</v>
      </c>
      <c r="F349">
        <v>3567</v>
      </c>
      <c r="G349" t="s">
        <v>79</v>
      </c>
      <c r="H349" t="s">
        <v>113</v>
      </c>
      <c r="I349" t="s">
        <v>19</v>
      </c>
      <c r="J349" t="s">
        <v>46</v>
      </c>
      <c r="K349" t="s">
        <v>21</v>
      </c>
      <c r="L349" t="s">
        <v>38</v>
      </c>
      <c r="M349">
        <f t="shared" si="15"/>
        <v>11</v>
      </c>
      <c r="N349" t="str">
        <f t="shared" si="16"/>
        <v>Low</v>
      </c>
      <c r="O349">
        <f t="shared" si="17"/>
        <v>30</v>
      </c>
    </row>
    <row r="350" spans="1:15" x14ac:dyDescent="0.3">
      <c r="A350" t="s">
        <v>1042</v>
      </c>
      <c r="B350" t="s">
        <v>901</v>
      </c>
      <c r="C350" t="s">
        <v>1043</v>
      </c>
      <c r="D350" t="s">
        <v>288</v>
      </c>
      <c r="E350" t="s">
        <v>51</v>
      </c>
      <c r="F350">
        <v>4885</v>
      </c>
      <c r="G350" t="s">
        <v>17</v>
      </c>
      <c r="H350" t="s">
        <v>105</v>
      </c>
      <c r="I350" t="s">
        <v>19</v>
      </c>
      <c r="J350" t="s">
        <v>95</v>
      </c>
      <c r="K350" t="s">
        <v>37</v>
      </c>
      <c r="L350" t="s">
        <v>38</v>
      </c>
      <c r="M350">
        <f t="shared" si="15"/>
        <v>21</v>
      </c>
      <c r="N350" t="str">
        <f t="shared" si="16"/>
        <v>Low</v>
      </c>
      <c r="O350">
        <f t="shared" si="17"/>
        <v>10</v>
      </c>
    </row>
    <row r="351" spans="1:15" x14ac:dyDescent="0.3">
      <c r="A351" t="s">
        <v>1044</v>
      </c>
      <c r="B351" t="s">
        <v>1045</v>
      </c>
      <c r="C351" t="s">
        <v>1046</v>
      </c>
      <c r="D351" t="s">
        <v>1047</v>
      </c>
      <c r="E351" t="s">
        <v>78</v>
      </c>
      <c r="F351">
        <v>10579</v>
      </c>
      <c r="G351" t="s">
        <v>63</v>
      </c>
      <c r="H351" t="s">
        <v>105</v>
      </c>
      <c r="I351" t="s">
        <v>28</v>
      </c>
      <c r="J351" t="s">
        <v>95</v>
      </c>
      <c r="K351" t="s">
        <v>69</v>
      </c>
      <c r="L351" t="s">
        <v>38</v>
      </c>
      <c r="M351">
        <f t="shared" si="15"/>
        <v>22</v>
      </c>
      <c r="N351" t="str">
        <f t="shared" si="16"/>
        <v>Low</v>
      </c>
      <c r="O351">
        <f t="shared" si="17"/>
        <v>10</v>
      </c>
    </row>
    <row r="352" spans="1:15" x14ac:dyDescent="0.3">
      <c r="A352" t="s">
        <v>1048</v>
      </c>
      <c r="B352" t="s">
        <v>1022</v>
      </c>
      <c r="C352" t="s">
        <v>1049</v>
      </c>
      <c r="D352" t="s">
        <v>73</v>
      </c>
      <c r="E352" t="s">
        <v>62</v>
      </c>
      <c r="F352">
        <v>12853</v>
      </c>
      <c r="G352" t="s">
        <v>35</v>
      </c>
      <c r="H352" t="s">
        <v>45</v>
      </c>
      <c r="I352" t="s">
        <v>28</v>
      </c>
      <c r="J352" t="s">
        <v>95</v>
      </c>
      <c r="K352" t="s">
        <v>37</v>
      </c>
      <c r="L352" t="s">
        <v>38</v>
      </c>
      <c r="M352">
        <f t="shared" si="15"/>
        <v>21</v>
      </c>
      <c r="N352" t="str">
        <f t="shared" si="16"/>
        <v>Low</v>
      </c>
      <c r="O352">
        <f t="shared" si="17"/>
        <v>10</v>
      </c>
    </row>
    <row r="353" spans="1:15" x14ac:dyDescent="0.3">
      <c r="A353" t="s">
        <v>1050</v>
      </c>
      <c r="B353" t="s">
        <v>649</v>
      </c>
      <c r="C353" t="s">
        <v>1051</v>
      </c>
      <c r="D353" t="s">
        <v>395</v>
      </c>
      <c r="E353" t="s">
        <v>34</v>
      </c>
      <c r="F353">
        <v>3638</v>
      </c>
      <c r="G353" t="s">
        <v>79</v>
      </c>
      <c r="H353" t="s">
        <v>85</v>
      </c>
      <c r="I353" t="s">
        <v>28</v>
      </c>
      <c r="J353" t="s">
        <v>46</v>
      </c>
      <c r="K353" t="s">
        <v>69</v>
      </c>
      <c r="L353" t="s">
        <v>38</v>
      </c>
      <c r="M353">
        <f t="shared" si="15"/>
        <v>6</v>
      </c>
      <c r="N353" t="str">
        <f t="shared" si="16"/>
        <v>Low</v>
      </c>
      <c r="O353">
        <f t="shared" si="17"/>
        <v>30</v>
      </c>
    </row>
    <row r="354" spans="1:15" x14ac:dyDescent="0.3">
      <c r="A354" t="s">
        <v>1052</v>
      </c>
      <c r="B354" t="s">
        <v>350</v>
      </c>
      <c r="C354" t="s">
        <v>1053</v>
      </c>
      <c r="D354" t="s">
        <v>622</v>
      </c>
      <c r="E354" t="s">
        <v>94</v>
      </c>
      <c r="F354">
        <v>1690</v>
      </c>
      <c r="G354" t="s">
        <v>17</v>
      </c>
      <c r="H354" t="s">
        <v>105</v>
      </c>
      <c r="I354" t="s">
        <v>19</v>
      </c>
      <c r="J354" t="s">
        <v>20</v>
      </c>
      <c r="K354" t="s">
        <v>21</v>
      </c>
      <c r="L354" t="s">
        <v>38</v>
      </c>
      <c r="M354">
        <f t="shared" si="15"/>
        <v>13</v>
      </c>
      <c r="N354" t="str">
        <f t="shared" si="16"/>
        <v>Low</v>
      </c>
      <c r="O354">
        <f t="shared" si="17"/>
        <v>10</v>
      </c>
    </row>
    <row r="355" spans="1:15" x14ac:dyDescent="0.3">
      <c r="A355" t="s">
        <v>1054</v>
      </c>
      <c r="B355" t="s">
        <v>306</v>
      </c>
      <c r="C355" t="s">
        <v>1055</v>
      </c>
      <c r="D355" t="s">
        <v>920</v>
      </c>
      <c r="E355" t="s">
        <v>78</v>
      </c>
      <c r="F355">
        <v>13898</v>
      </c>
      <c r="G355" t="s">
        <v>68</v>
      </c>
      <c r="H355" t="s">
        <v>45</v>
      </c>
      <c r="I355" t="s">
        <v>28</v>
      </c>
      <c r="J355" t="s">
        <v>20</v>
      </c>
      <c r="K355" t="s">
        <v>21</v>
      </c>
      <c r="L355" t="s">
        <v>38</v>
      </c>
      <c r="M355">
        <f t="shared" si="15"/>
        <v>11</v>
      </c>
      <c r="N355" t="str">
        <f t="shared" si="16"/>
        <v>Low</v>
      </c>
      <c r="O355">
        <f t="shared" si="17"/>
        <v>10</v>
      </c>
    </row>
    <row r="356" spans="1:15" x14ac:dyDescent="0.3">
      <c r="A356" t="s">
        <v>1056</v>
      </c>
      <c r="B356" t="s">
        <v>54</v>
      </c>
      <c r="C356" t="s">
        <v>1057</v>
      </c>
      <c r="D356" t="s">
        <v>631</v>
      </c>
      <c r="E356" t="s">
        <v>16</v>
      </c>
      <c r="F356">
        <v>9350</v>
      </c>
      <c r="G356" t="s">
        <v>17</v>
      </c>
      <c r="H356" t="s">
        <v>85</v>
      </c>
      <c r="I356" t="s">
        <v>28</v>
      </c>
      <c r="J356" t="s">
        <v>20</v>
      </c>
      <c r="K356" t="s">
        <v>29</v>
      </c>
      <c r="L356" t="s">
        <v>38</v>
      </c>
      <c r="M356">
        <f t="shared" si="15"/>
        <v>10</v>
      </c>
      <c r="N356" t="str">
        <f t="shared" si="16"/>
        <v>Low</v>
      </c>
      <c r="O356">
        <f t="shared" si="17"/>
        <v>40</v>
      </c>
    </row>
    <row r="357" spans="1:15" x14ac:dyDescent="0.3">
      <c r="A357" t="s">
        <v>1058</v>
      </c>
      <c r="B357" t="s">
        <v>748</v>
      </c>
      <c r="C357" t="s">
        <v>1059</v>
      </c>
      <c r="D357" t="s">
        <v>596</v>
      </c>
      <c r="E357" t="s">
        <v>16</v>
      </c>
      <c r="F357">
        <v>50490</v>
      </c>
      <c r="G357" t="s">
        <v>79</v>
      </c>
      <c r="H357" t="s">
        <v>85</v>
      </c>
      <c r="I357" t="s">
        <v>19</v>
      </c>
      <c r="J357" t="s">
        <v>20</v>
      </c>
      <c r="K357" t="s">
        <v>37</v>
      </c>
      <c r="L357" t="s">
        <v>22</v>
      </c>
      <c r="M357">
        <f t="shared" si="15"/>
        <v>23</v>
      </c>
      <c r="N357" t="str">
        <f t="shared" si="16"/>
        <v>High</v>
      </c>
      <c r="O357">
        <f t="shared" si="17"/>
        <v>80</v>
      </c>
    </row>
    <row r="358" spans="1:15" x14ac:dyDescent="0.3">
      <c r="A358" t="s">
        <v>1060</v>
      </c>
      <c r="B358" t="s">
        <v>1061</v>
      </c>
      <c r="C358" t="s">
        <v>1062</v>
      </c>
      <c r="D358" t="s">
        <v>174</v>
      </c>
      <c r="E358" t="s">
        <v>34</v>
      </c>
      <c r="F358">
        <v>5632</v>
      </c>
      <c r="G358" t="s">
        <v>63</v>
      </c>
      <c r="H358" t="s">
        <v>105</v>
      </c>
      <c r="I358" t="s">
        <v>19</v>
      </c>
      <c r="J358" t="s">
        <v>46</v>
      </c>
      <c r="K358" t="s">
        <v>21</v>
      </c>
      <c r="L358" t="s">
        <v>38</v>
      </c>
      <c r="M358">
        <f t="shared" si="15"/>
        <v>11</v>
      </c>
      <c r="N358" t="str">
        <f t="shared" si="16"/>
        <v>Low</v>
      </c>
      <c r="O358">
        <f t="shared" si="17"/>
        <v>30</v>
      </c>
    </row>
    <row r="359" spans="1:15" x14ac:dyDescent="0.3">
      <c r="A359" t="s">
        <v>1063</v>
      </c>
      <c r="B359" t="s">
        <v>707</v>
      </c>
      <c r="C359" t="s">
        <v>1001</v>
      </c>
      <c r="D359" t="s">
        <v>196</v>
      </c>
      <c r="E359" t="s">
        <v>34</v>
      </c>
      <c r="F359">
        <v>13918</v>
      </c>
      <c r="G359" t="s">
        <v>68</v>
      </c>
      <c r="H359" t="s">
        <v>45</v>
      </c>
      <c r="I359" t="s">
        <v>28</v>
      </c>
      <c r="J359" t="s">
        <v>46</v>
      </c>
      <c r="K359" t="s">
        <v>21</v>
      </c>
      <c r="L359" t="s">
        <v>38</v>
      </c>
      <c r="M359">
        <f t="shared" si="15"/>
        <v>22</v>
      </c>
      <c r="N359" t="str">
        <f t="shared" si="16"/>
        <v>Low</v>
      </c>
      <c r="O359">
        <f t="shared" si="17"/>
        <v>30</v>
      </c>
    </row>
    <row r="360" spans="1:15" x14ac:dyDescent="0.3">
      <c r="A360" t="s">
        <v>1064</v>
      </c>
      <c r="B360" t="s">
        <v>135</v>
      </c>
      <c r="C360" t="s">
        <v>1065</v>
      </c>
      <c r="D360" t="s">
        <v>129</v>
      </c>
      <c r="E360" t="s">
        <v>94</v>
      </c>
      <c r="F360">
        <v>2285</v>
      </c>
      <c r="G360" t="s">
        <v>63</v>
      </c>
      <c r="H360" t="s">
        <v>85</v>
      </c>
      <c r="I360" t="s">
        <v>28</v>
      </c>
      <c r="J360" t="s">
        <v>46</v>
      </c>
      <c r="K360" t="s">
        <v>29</v>
      </c>
      <c r="L360" t="s">
        <v>38</v>
      </c>
      <c r="M360">
        <f t="shared" si="15"/>
        <v>11</v>
      </c>
      <c r="N360" t="str">
        <f t="shared" si="16"/>
        <v>Low</v>
      </c>
      <c r="O360">
        <f t="shared" si="17"/>
        <v>30</v>
      </c>
    </row>
    <row r="361" spans="1:15" x14ac:dyDescent="0.3">
      <c r="A361" t="s">
        <v>1066</v>
      </c>
      <c r="B361" t="s">
        <v>727</v>
      </c>
      <c r="C361" t="s">
        <v>1067</v>
      </c>
      <c r="D361" t="s">
        <v>288</v>
      </c>
      <c r="E361" t="s">
        <v>78</v>
      </c>
      <c r="F361">
        <v>10105</v>
      </c>
      <c r="G361" t="s">
        <v>63</v>
      </c>
      <c r="H361" t="s">
        <v>113</v>
      </c>
      <c r="I361" t="s">
        <v>28</v>
      </c>
      <c r="J361" t="s">
        <v>95</v>
      </c>
      <c r="K361" t="s">
        <v>37</v>
      </c>
      <c r="L361" t="s">
        <v>38</v>
      </c>
      <c r="M361">
        <f t="shared" si="15"/>
        <v>17</v>
      </c>
      <c r="N361" t="str">
        <f t="shared" si="16"/>
        <v>Low</v>
      </c>
      <c r="O361">
        <f t="shared" si="17"/>
        <v>10</v>
      </c>
    </row>
    <row r="362" spans="1:15" x14ac:dyDescent="0.3">
      <c r="A362" t="s">
        <v>1068</v>
      </c>
      <c r="B362" t="s">
        <v>347</v>
      </c>
      <c r="C362" t="s">
        <v>1069</v>
      </c>
      <c r="D362" t="s">
        <v>556</v>
      </c>
      <c r="E362" t="s">
        <v>94</v>
      </c>
      <c r="F362">
        <v>2961</v>
      </c>
      <c r="G362" t="s">
        <v>44</v>
      </c>
      <c r="H362" t="s">
        <v>105</v>
      </c>
      <c r="I362" t="s">
        <v>19</v>
      </c>
      <c r="J362" t="s">
        <v>95</v>
      </c>
      <c r="K362" t="s">
        <v>21</v>
      </c>
      <c r="L362" t="s">
        <v>38</v>
      </c>
      <c r="M362">
        <f t="shared" si="15"/>
        <v>6</v>
      </c>
      <c r="N362" t="str">
        <f t="shared" si="16"/>
        <v>Low</v>
      </c>
      <c r="O362">
        <f t="shared" si="17"/>
        <v>10</v>
      </c>
    </row>
    <row r="363" spans="1:15" x14ac:dyDescent="0.3">
      <c r="A363" t="s">
        <v>1070</v>
      </c>
      <c r="B363" t="s">
        <v>1071</v>
      </c>
      <c r="C363" t="s">
        <v>367</v>
      </c>
      <c r="D363" t="s">
        <v>314</v>
      </c>
      <c r="E363" t="s">
        <v>51</v>
      </c>
      <c r="F363">
        <v>9315</v>
      </c>
      <c r="G363" t="s">
        <v>44</v>
      </c>
      <c r="H363" t="s">
        <v>18</v>
      </c>
      <c r="I363" t="s">
        <v>19</v>
      </c>
      <c r="J363" t="s">
        <v>20</v>
      </c>
      <c r="K363" t="s">
        <v>37</v>
      </c>
      <c r="L363" t="s">
        <v>38</v>
      </c>
      <c r="M363">
        <f t="shared" si="15"/>
        <v>9</v>
      </c>
      <c r="N363" t="str">
        <f t="shared" si="16"/>
        <v>Low</v>
      </c>
      <c r="O363">
        <f t="shared" si="17"/>
        <v>10</v>
      </c>
    </row>
    <row r="364" spans="1:15" x14ac:dyDescent="0.3">
      <c r="A364" t="s">
        <v>1072</v>
      </c>
      <c r="B364" t="s">
        <v>143</v>
      </c>
      <c r="C364" t="s">
        <v>1073</v>
      </c>
      <c r="D364" t="s">
        <v>1074</v>
      </c>
      <c r="E364" t="s">
        <v>51</v>
      </c>
      <c r="F364">
        <v>1503</v>
      </c>
      <c r="G364" t="s">
        <v>68</v>
      </c>
      <c r="H364" t="s">
        <v>27</v>
      </c>
      <c r="I364" t="s">
        <v>19</v>
      </c>
      <c r="J364" t="s">
        <v>20</v>
      </c>
      <c r="K364" t="s">
        <v>80</v>
      </c>
      <c r="L364" t="s">
        <v>38</v>
      </c>
      <c r="M364">
        <f t="shared" si="15"/>
        <v>16</v>
      </c>
      <c r="N364" t="str">
        <f t="shared" si="16"/>
        <v>Low</v>
      </c>
      <c r="O364">
        <f t="shared" si="17"/>
        <v>10</v>
      </c>
    </row>
    <row r="365" spans="1:15" x14ac:dyDescent="0.3">
      <c r="A365" t="s">
        <v>1075</v>
      </c>
      <c r="B365" t="s">
        <v>366</v>
      </c>
      <c r="C365" t="s">
        <v>1076</v>
      </c>
      <c r="D365" t="s">
        <v>725</v>
      </c>
      <c r="E365" t="s">
        <v>43</v>
      </c>
      <c r="F365">
        <v>1820</v>
      </c>
      <c r="G365" t="s">
        <v>17</v>
      </c>
      <c r="H365" t="s">
        <v>36</v>
      </c>
      <c r="I365" t="s">
        <v>19</v>
      </c>
      <c r="J365" t="s">
        <v>46</v>
      </c>
      <c r="K365" t="s">
        <v>57</v>
      </c>
      <c r="L365" t="s">
        <v>38</v>
      </c>
      <c r="M365">
        <f t="shared" si="15"/>
        <v>6</v>
      </c>
      <c r="N365" t="str">
        <f t="shared" si="16"/>
        <v>Low</v>
      </c>
      <c r="O365">
        <f t="shared" si="17"/>
        <v>30</v>
      </c>
    </row>
    <row r="366" spans="1:15" x14ac:dyDescent="0.3">
      <c r="A366" t="s">
        <v>1077</v>
      </c>
      <c r="B366" t="s">
        <v>786</v>
      </c>
      <c r="C366" t="s">
        <v>1078</v>
      </c>
      <c r="D366" t="s">
        <v>108</v>
      </c>
      <c r="E366" t="s">
        <v>34</v>
      </c>
      <c r="F366">
        <v>6199</v>
      </c>
      <c r="G366" t="s">
        <v>68</v>
      </c>
      <c r="H366" t="s">
        <v>27</v>
      </c>
      <c r="I366" t="s">
        <v>19</v>
      </c>
      <c r="J366" t="s">
        <v>46</v>
      </c>
      <c r="K366" t="s">
        <v>57</v>
      </c>
      <c r="L366" t="s">
        <v>38</v>
      </c>
      <c r="M366">
        <f t="shared" si="15"/>
        <v>9</v>
      </c>
      <c r="N366" t="str">
        <f t="shared" si="16"/>
        <v>Low</v>
      </c>
      <c r="O366">
        <f t="shared" si="17"/>
        <v>30</v>
      </c>
    </row>
    <row r="367" spans="1:15" x14ac:dyDescent="0.3">
      <c r="A367" t="s">
        <v>1079</v>
      </c>
      <c r="B367" t="s">
        <v>24</v>
      </c>
      <c r="C367" t="s">
        <v>181</v>
      </c>
      <c r="D367" t="s">
        <v>951</v>
      </c>
      <c r="E367" t="s">
        <v>43</v>
      </c>
      <c r="F367">
        <v>5271</v>
      </c>
      <c r="G367" t="s">
        <v>63</v>
      </c>
      <c r="H367" t="s">
        <v>113</v>
      </c>
      <c r="I367" t="s">
        <v>28</v>
      </c>
      <c r="J367" t="s">
        <v>20</v>
      </c>
      <c r="K367" t="s">
        <v>29</v>
      </c>
      <c r="L367" t="s">
        <v>38</v>
      </c>
      <c r="M367">
        <f t="shared" si="15"/>
        <v>14</v>
      </c>
      <c r="N367" t="str">
        <f t="shared" si="16"/>
        <v>Low</v>
      </c>
      <c r="O367">
        <f t="shared" si="17"/>
        <v>10</v>
      </c>
    </row>
    <row r="368" spans="1:15" x14ac:dyDescent="0.3">
      <c r="A368" t="s">
        <v>1080</v>
      </c>
      <c r="B368" t="s">
        <v>960</v>
      </c>
      <c r="C368" t="s">
        <v>1081</v>
      </c>
      <c r="D368" t="s">
        <v>729</v>
      </c>
      <c r="E368" t="s">
        <v>62</v>
      </c>
      <c r="F368">
        <v>14764</v>
      </c>
      <c r="G368" t="s">
        <v>63</v>
      </c>
      <c r="H368" t="s">
        <v>85</v>
      </c>
      <c r="I368" t="s">
        <v>19</v>
      </c>
      <c r="J368" t="s">
        <v>95</v>
      </c>
      <c r="K368" t="s">
        <v>57</v>
      </c>
      <c r="L368" t="s">
        <v>38</v>
      </c>
      <c r="M368">
        <f t="shared" si="15"/>
        <v>8</v>
      </c>
      <c r="N368" t="str">
        <f t="shared" si="16"/>
        <v>Low</v>
      </c>
      <c r="O368">
        <f t="shared" si="17"/>
        <v>10</v>
      </c>
    </row>
    <row r="369" spans="1:15" x14ac:dyDescent="0.3">
      <c r="A369" t="s">
        <v>1082</v>
      </c>
      <c r="B369" t="s">
        <v>143</v>
      </c>
      <c r="C369" t="s">
        <v>1083</v>
      </c>
      <c r="D369" t="s">
        <v>258</v>
      </c>
      <c r="E369" t="s">
        <v>43</v>
      </c>
      <c r="F369">
        <v>7163</v>
      </c>
      <c r="G369" t="s">
        <v>63</v>
      </c>
      <c r="H369" t="s">
        <v>27</v>
      </c>
      <c r="I369" t="s">
        <v>19</v>
      </c>
      <c r="J369" t="s">
        <v>20</v>
      </c>
      <c r="K369" t="s">
        <v>57</v>
      </c>
      <c r="L369" t="s">
        <v>38</v>
      </c>
      <c r="M369">
        <f t="shared" si="15"/>
        <v>11</v>
      </c>
      <c r="N369" t="str">
        <f t="shared" si="16"/>
        <v>Low</v>
      </c>
      <c r="O369">
        <f t="shared" si="17"/>
        <v>10</v>
      </c>
    </row>
    <row r="370" spans="1:15" x14ac:dyDescent="0.3">
      <c r="A370" t="s">
        <v>1084</v>
      </c>
      <c r="B370" t="s">
        <v>91</v>
      </c>
      <c r="C370" t="s">
        <v>1085</v>
      </c>
      <c r="D370" t="s">
        <v>1086</v>
      </c>
      <c r="E370" t="s">
        <v>94</v>
      </c>
      <c r="F370">
        <v>12009</v>
      </c>
      <c r="G370" t="s">
        <v>17</v>
      </c>
      <c r="H370" t="s">
        <v>27</v>
      </c>
      <c r="I370" t="s">
        <v>19</v>
      </c>
      <c r="J370" t="s">
        <v>46</v>
      </c>
      <c r="K370" t="s">
        <v>96</v>
      </c>
      <c r="L370" t="s">
        <v>38</v>
      </c>
      <c r="M370">
        <f t="shared" si="15"/>
        <v>14</v>
      </c>
      <c r="N370" t="str">
        <f t="shared" si="16"/>
        <v>Low</v>
      </c>
      <c r="O370">
        <f t="shared" si="17"/>
        <v>30</v>
      </c>
    </row>
    <row r="371" spans="1:15" x14ac:dyDescent="0.3">
      <c r="A371" t="s">
        <v>1087</v>
      </c>
      <c r="B371" t="s">
        <v>763</v>
      </c>
      <c r="C371" t="s">
        <v>1088</v>
      </c>
      <c r="D371" t="s">
        <v>1089</v>
      </c>
      <c r="E371" t="s">
        <v>43</v>
      </c>
      <c r="F371">
        <v>8093</v>
      </c>
      <c r="G371" t="s">
        <v>63</v>
      </c>
      <c r="H371" t="s">
        <v>36</v>
      </c>
      <c r="I371" t="s">
        <v>19</v>
      </c>
      <c r="J371" t="s">
        <v>46</v>
      </c>
      <c r="K371" t="s">
        <v>37</v>
      </c>
      <c r="L371" t="s">
        <v>38</v>
      </c>
      <c r="M371">
        <f t="shared" si="15"/>
        <v>10</v>
      </c>
      <c r="N371" t="str">
        <f t="shared" si="16"/>
        <v>Low</v>
      </c>
      <c r="O371">
        <f t="shared" si="17"/>
        <v>30</v>
      </c>
    </row>
    <row r="372" spans="1:15" x14ac:dyDescent="0.3">
      <c r="A372" t="s">
        <v>1090</v>
      </c>
      <c r="B372" t="s">
        <v>871</v>
      </c>
      <c r="C372" t="s">
        <v>1091</v>
      </c>
      <c r="D372" t="s">
        <v>1092</v>
      </c>
      <c r="E372" t="s">
        <v>43</v>
      </c>
      <c r="F372">
        <v>3321</v>
      </c>
      <c r="G372" t="s">
        <v>68</v>
      </c>
      <c r="H372" t="s">
        <v>52</v>
      </c>
      <c r="I372" t="s">
        <v>19</v>
      </c>
      <c r="J372" t="s">
        <v>20</v>
      </c>
      <c r="K372" t="s">
        <v>57</v>
      </c>
      <c r="L372" t="s">
        <v>38</v>
      </c>
      <c r="M372">
        <f t="shared" si="15"/>
        <v>9</v>
      </c>
      <c r="N372" t="str">
        <f t="shared" si="16"/>
        <v>Low</v>
      </c>
      <c r="O372">
        <f t="shared" si="17"/>
        <v>10</v>
      </c>
    </row>
    <row r="373" spans="1:15" x14ac:dyDescent="0.3">
      <c r="A373" t="s">
        <v>1093</v>
      </c>
      <c r="B373" t="s">
        <v>912</v>
      </c>
      <c r="C373" t="s">
        <v>1094</v>
      </c>
      <c r="D373" t="s">
        <v>699</v>
      </c>
      <c r="E373" t="s">
        <v>94</v>
      </c>
      <c r="F373">
        <v>7765</v>
      </c>
      <c r="G373" t="s">
        <v>17</v>
      </c>
      <c r="H373" t="s">
        <v>36</v>
      </c>
      <c r="I373" t="s">
        <v>19</v>
      </c>
      <c r="J373" t="s">
        <v>46</v>
      </c>
      <c r="K373" t="s">
        <v>37</v>
      </c>
      <c r="L373" t="s">
        <v>38</v>
      </c>
      <c r="M373">
        <f t="shared" si="15"/>
        <v>21</v>
      </c>
      <c r="N373" t="str">
        <f t="shared" si="16"/>
        <v>Low</v>
      </c>
      <c r="O373">
        <f t="shared" si="17"/>
        <v>30</v>
      </c>
    </row>
    <row r="374" spans="1:15" x14ac:dyDescent="0.3">
      <c r="A374" t="s">
        <v>1095</v>
      </c>
      <c r="B374" t="s">
        <v>714</v>
      </c>
      <c r="C374" t="s">
        <v>1096</v>
      </c>
      <c r="D374" t="s">
        <v>890</v>
      </c>
      <c r="E374" t="s">
        <v>51</v>
      </c>
      <c r="F374">
        <v>781</v>
      </c>
      <c r="G374" t="s">
        <v>68</v>
      </c>
      <c r="H374" t="s">
        <v>27</v>
      </c>
      <c r="I374" t="s">
        <v>28</v>
      </c>
      <c r="J374" t="s">
        <v>46</v>
      </c>
      <c r="K374" t="s">
        <v>21</v>
      </c>
      <c r="L374" t="s">
        <v>38</v>
      </c>
      <c r="M374">
        <f t="shared" si="15"/>
        <v>14</v>
      </c>
      <c r="N374" t="str">
        <f t="shared" si="16"/>
        <v>Low</v>
      </c>
      <c r="O374">
        <f t="shared" si="17"/>
        <v>30</v>
      </c>
    </row>
    <row r="375" spans="1:15" x14ac:dyDescent="0.3">
      <c r="A375" t="s">
        <v>1097</v>
      </c>
      <c r="B375" t="s">
        <v>603</v>
      </c>
      <c r="C375" t="s">
        <v>1098</v>
      </c>
      <c r="D375" t="s">
        <v>182</v>
      </c>
      <c r="E375" t="s">
        <v>43</v>
      </c>
      <c r="F375">
        <v>10985</v>
      </c>
      <c r="G375" t="s">
        <v>68</v>
      </c>
      <c r="H375" t="s">
        <v>36</v>
      </c>
      <c r="I375" t="s">
        <v>19</v>
      </c>
      <c r="J375" t="s">
        <v>95</v>
      </c>
      <c r="K375" t="s">
        <v>21</v>
      </c>
      <c r="L375" t="s">
        <v>38</v>
      </c>
      <c r="M375">
        <f t="shared" si="15"/>
        <v>9</v>
      </c>
      <c r="N375" t="str">
        <f t="shared" si="16"/>
        <v>Low</v>
      </c>
      <c r="O375">
        <f t="shared" si="17"/>
        <v>10</v>
      </c>
    </row>
    <row r="376" spans="1:15" x14ac:dyDescent="0.3">
      <c r="A376" t="s">
        <v>1099</v>
      </c>
      <c r="B376" t="s">
        <v>147</v>
      </c>
      <c r="C376" t="s">
        <v>1043</v>
      </c>
      <c r="D376" t="s">
        <v>702</v>
      </c>
      <c r="E376" t="s">
        <v>16</v>
      </c>
      <c r="F376">
        <v>6908</v>
      </c>
      <c r="G376" t="s">
        <v>63</v>
      </c>
      <c r="H376" t="s">
        <v>52</v>
      </c>
      <c r="I376" t="s">
        <v>19</v>
      </c>
      <c r="J376" t="s">
        <v>20</v>
      </c>
      <c r="K376" t="s">
        <v>57</v>
      </c>
      <c r="L376" t="s">
        <v>38</v>
      </c>
      <c r="M376">
        <f t="shared" si="15"/>
        <v>21</v>
      </c>
      <c r="N376" t="str">
        <f t="shared" si="16"/>
        <v>Low</v>
      </c>
      <c r="O376">
        <f t="shared" si="17"/>
        <v>40</v>
      </c>
    </row>
    <row r="377" spans="1:15" x14ac:dyDescent="0.3">
      <c r="A377" t="s">
        <v>1100</v>
      </c>
      <c r="B377" t="s">
        <v>24</v>
      </c>
      <c r="C377" t="s">
        <v>1101</v>
      </c>
      <c r="D377" t="s">
        <v>89</v>
      </c>
      <c r="E377" t="s">
        <v>34</v>
      </c>
      <c r="F377">
        <v>14803</v>
      </c>
      <c r="G377" t="s">
        <v>17</v>
      </c>
      <c r="H377" t="s">
        <v>113</v>
      </c>
      <c r="I377" t="s">
        <v>19</v>
      </c>
      <c r="J377" t="s">
        <v>95</v>
      </c>
      <c r="K377" t="s">
        <v>69</v>
      </c>
      <c r="L377" t="s">
        <v>38</v>
      </c>
      <c r="M377">
        <f t="shared" si="15"/>
        <v>22</v>
      </c>
      <c r="N377" t="str">
        <f t="shared" si="16"/>
        <v>Low</v>
      </c>
      <c r="O377">
        <f t="shared" si="17"/>
        <v>10</v>
      </c>
    </row>
    <row r="378" spans="1:15" x14ac:dyDescent="0.3">
      <c r="A378" t="s">
        <v>1102</v>
      </c>
      <c r="B378" t="s">
        <v>363</v>
      </c>
      <c r="C378" t="s">
        <v>872</v>
      </c>
      <c r="D378" t="s">
        <v>182</v>
      </c>
      <c r="E378" t="s">
        <v>34</v>
      </c>
      <c r="F378">
        <v>2788</v>
      </c>
      <c r="G378" t="s">
        <v>63</v>
      </c>
      <c r="H378" t="s">
        <v>105</v>
      </c>
      <c r="I378" t="s">
        <v>28</v>
      </c>
      <c r="J378" t="s">
        <v>20</v>
      </c>
      <c r="K378" t="s">
        <v>96</v>
      </c>
      <c r="L378" t="s">
        <v>38</v>
      </c>
      <c r="M378">
        <f t="shared" si="15"/>
        <v>12</v>
      </c>
      <c r="N378" t="str">
        <f t="shared" si="16"/>
        <v>Low</v>
      </c>
      <c r="O378">
        <f t="shared" si="17"/>
        <v>10</v>
      </c>
    </row>
    <row r="379" spans="1:15" x14ac:dyDescent="0.3">
      <c r="A379" t="s">
        <v>1103</v>
      </c>
      <c r="B379" t="s">
        <v>98</v>
      </c>
      <c r="C379" t="s">
        <v>1104</v>
      </c>
      <c r="D379" t="s">
        <v>849</v>
      </c>
      <c r="E379" t="s">
        <v>34</v>
      </c>
      <c r="F379">
        <v>13526</v>
      </c>
      <c r="G379" t="s">
        <v>17</v>
      </c>
      <c r="H379" t="s">
        <v>45</v>
      </c>
      <c r="I379" t="s">
        <v>19</v>
      </c>
      <c r="J379" t="s">
        <v>95</v>
      </c>
      <c r="K379" t="s">
        <v>96</v>
      </c>
      <c r="L379" t="s">
        <v>38</v>
      </c>
      <c r="M379">
        <f t="shared" si="15"/>
        <v>10</v>
      </c>
      <c r="N379" t="str">
        <f t="shared" si="16"/>
        <v>Low</v>
      </c>
      <c r="O379">
        <f t="shared" si="17"/>
        <v>10</v>
      </c>
    </row>
    <row r="380" spans="1:15" x14ac:dyDescent="0.3">
      <c r="A380" t="s">
        <v>1105</v>
      </c>
      <c r="B380" t="s">
        <v>1106</v>
      </c>
      <c r="C380" t="s">
        <v>1107</v>
      </c>
      <c r="D380" t="s">
        <v>693</v>
      </c>
      <c r="E380" t="s">
        <v>16</v>
      </c>
      <c r="F380">
        <v>5393</v>
      </c>
      <c r="G380" t="s">
        <v>17</v>
      </c>
      <c r="H380" t="s">
        <v>105</v>
      </c>
      <c r="I380" t="s">
        <v>28</v>
      </c>
      <c r="J380" t="s">
        <v>46</v>
      </c>
      <c r="K380" t="s">
        <v>96</v>
      </c>
      <c r="L380" t="s">
        <v>38</v>
      </c>
      <c r="M380">
        <f t="shared" si="15"/>
        <v>14</v>
      </c>
      <c r="N380" t="str">
        <f t="shared" si="16"/>
        <v>Low</v>
      </c>
      <c r="O380">
        <f t="shared" si="17"/>
        <v>60</v>
      </c>
    </row>
    <row r="381" spans="1:15" x14ac:dyDescent="0.3">
      <c r="A381" t="s">
        <v>1108</v>
      </c>
      <c r="B381" t="s">
        <v>603</v>
      </c>
      <c r="C381" t="s">
        <v>1109</v>
      </c>
      <c r="D381" t="s">
        <v>1110</v>
      </c>
      <c r="E381" t="s">
        <v>16</v>
      </c>
      <c r="F381">
        <v>33133</v>
      </c>
      <c r="G381" t="s">
        <v>44</v>
      </c>
      <c r="H381" t="s">
        <v>52</v>
      </c>
      <c r="I381" t="s">
        <v>28</v>
      </c>
      <c r="J381" t="s">
        <v>20</v>
      </c>
      <c r="K381" t="s">
        <v>57</v>
      </c>
      <c r="L381" t="s">
        <v>22</v>
      </c>
      <c r="M381">
        <f t="shared" si="15"/>
        <v>0</v>
      </c>
      <c r="N381" t="str">
        <f t="shared" si="16"/>
        <v>High</v>
      </c>
      <c r="O381">
        <f t="shared" si="17"/>
        <v>95</v>
      </c>
    </row>
    <row r="382" spans="1:15" x14ac:dyDescent="0.3">
      <c r="A382" t="s">
        <v>1111</v>
      </c>
      <c r="B382" t="s">
        <v>401</v>
      </c>
      <c r="C382" t="s">
        <v>1112</v>
      </c>
      <c r="D382" t="s">
        <v>467</v>
      </c>
      <c r="E382" t="s">
        <v>43</v>
      </c>
      <c r="F382">
        <v>9422</v>
      </c>
      <c r="G382" t="s">
        <v>79</v>
      </c>
      <c r="H382" t="s">
        <v>36</v>
      </c>
      <c r="I382" t="s">
        <v>19</v>
      </c>
      <c r="J382" t="s">
        <v>20</v>
      </c>
      <c r="K382" t="s">
        <v>21</v>
      </c>
      <c r="L382" t="s">
        <v>38</v>
      </c>
      <c r="M382">
        <f t="shared" si="15"/>
        <v>21</v>
      </c>
      <c r="N382" t="str">
        <f t="shared" si="16"/>
        <v>Low</v>
      </c>
      <c r="O382">
        <f t="shared" si="17"/>
        <v>10</v>
      </c>
    </row>
    <row r="383" spans="1:15" x14ac:dyDescent="0.3">
      <c r="A383" t="s">
        <v>1113</v>
      </c>
      <c r="B383" t="s">
        <v>949</v>
      </c>
      <c r="C383" t="s">
        <v>1114</v>
      </c>
      <c r="D383" t="s">
        <v>916</v>
      </c>
      <c r="E383" t="s">
        <v>62</v>
      </c>
      <c r="F383">
        <v>685</v>
      </c>
      <c r="G383" t="s">
        <v>44</v>
      </c>
      <c r="H383" t="s">
        <v>105</v>
      </c>
      <c r="I383" t="s">
        <v>28</v>
      </c>
      <c r="J383" t="s">
        <v>95</v>
      </c>
      <c r="K383" t="s">
        <v>37</v>
      </c>
      <c r="L383" t="s">
        <v>38</v>
      </c>
      <c r="M383">
        <f t="shared" si="15"/>
        <v>18</v>
      </c>
      <c r="N383" t="str">
        <f t="shared" si="16"/>
        <v>Low</v>
      </c>
      <c r="O383">
        <f t="shared" si="17"/>
        <v>10</v>
      </c>
    </row>
    <row r="384" spans="1:15" x14ac:dyDescent="0.3">
      <c r="A384" t="s">
        <v>1115</v>
      </c>
      <c r="B384" t="s">
        <v>1035</v>
      </c>
      <c r="C384" t="s">
        <v>1116</v>
      </c>
      <c r="D384" t="s">
        <v>1020</v>
      </c>
      <c r="E384" t="s">
        <v>62</v>
      </c>
      <c r="F384">
        <v>13053</v>
      </c>
      <c r="G384" t="s">
        <v>35</v>
      </c>
      <c r="H384" t="s">
        <v>85</v>
      </c>
      <c r="I384" t="s">
        <v>19</v>
      </c>
      <c r="J384" t="s">
        <v>46</v>
      </c>
      <c r="K384" t="s">
        <v>69</v>
      </c>
      <c r="L384" t="s">
        <v>38</v>
      </c>
      <c r="M384">
        <f t="shared" si="15"/>
        <v>15</v>
      </c>
      <c r="N384" t="str">
        <f t="shared" si="16"/>
        <v>Low</v>
      </c>
      <c r="O384">
        <f t="shared" si="17"/>
        <v>30</v>
      </c>
    </row>
    <row r="385" spans="1:15" x14ac:dyDescent="0.3">
      <c r="A385" t="s">
        <v>1117</v>
      </c>
      <c r="B385" t="s">
        <v>270</v>
      </c>
      <c r="C385" t="s">
        <v>1118</v>
      </c>
      <c r="D385" t="s">
        <v>129</v>
      </c>
      <c r="E385" t="s">
        <v>34</v>
      </c>
      <c r="F385">
        <v>12235</v>
      </c>
      <c r="G385" t="s">
        <v>17</v>
      </c>
      <c r="H385" t="s">
        <v>36</v>
      </c>
      <c r="I385" t="s">
        <v>19</v>
      </c>
      <c r="J385" t="s">
        <v>46</v>
      </c>
      <c r="K385" t="s">
        <v>29</v>
      </c>
      <c r="L385" t="s">
        <v>38</v>
      </c>
      <c r="M385">
        <f t="shared" si="15"/>
        <v>20</v>
      </c>
      <c r="N385" t="str">
        <f t="shared" si="16"/>
        <v>Low</v>
      </c>
      <c r="O385">
        <f t="shared" si="17"/>
        <v>30</v>
      </c>
    </row>
    <row r="386" spans="1:15" x14ac:dyDescent="0.3">
      <c r="A386" t="s">
        <v>1119</v>
      </c>
      <c r="B386" t="s">
        <v>127</v>
      </c>
      <c r="C386" t="s">
        <v>749</v>
      </c>
      <c r="D386" t="s">
        <v>145</v>
      </c>
      <c r="E386" t="s">
        <v>34</v>
      </c>
      <c r="F386">
        <v>6721</v>
      </c>
      <c r="G386" t="s">
        <v>35</v>
      </c>
      <c r="H386" t="s">
        <v>45</v>
      </c>
      <c r="I386" t="s">
        <v>19</v>
      </c>
      <c r="J386" t="s">
        <v>95</v>
      </c>
      <c r="K386" t="s">
        <v>21</v>
      </c>
      <c r="L386" t="s">
        <v>38</v>
      </c>
      <c r="M386">
        <f t="shared" ref="M386:M449" si="18">HOUR(C386)</f>
        <v>21</v>
      </c>
      <c r="N386" t="str">
        <f t="shared" ref="N386:N449" si="19">IF(L386="Yes","High","Low")</f>
        <v>Low</v>
      </c>
      <c r="O386">
        <f t="shared" ref="O386:O449" si="20">IF(F386&gt;20000,50,10)+IF(J386="Failed",20,0)+IF(E386="Unknown",30,0)+IF(M386&lt;5,15,0)</f>
        <v>10</v>
      </c>
    </row>
    <row r="387" spans="1:15" x14ac:dyDescent="0.3">
      <c r="A387" t="s">
        <v>1120</v>
      </c>
      <c r="B387" t="s">
        <v>869</v>
      </c>
      <c r="C387" t="s">
        <v>1121</v>
      </c>
      <c r="D387" t="s">
        <v>528</v>
      </c>
      <c r="E387" t="s">
        <v>78</v>
      </c>
      <c r="F387">
        <v>8353</v>
      </c>
      <c r="G387" t="s">
        <v>35</v>
      </c>
      <c r="H387" t="s">
        <v>105</v>
      </c>
      <c r="I387" t="s">
        <v>19</v>
      </c>
      <c r="J387" t="s">
        <v>95</v>
      </c>
      <c r="K387" t="s">
        <v>29</v>
      </c>
      <c r="L387" t="s">
        <v>38</v>
      </c>
      <c r="M387">
        <f t="shared" si="18"/>
        <v>18</v>
      </c>
      <c r="N387" t="str">
        <f t="shared" si="19"/>
        <v>Low</v>
      </c>
      <c r="O387">
        <f t="shared" si="20"/>
        <v>10</v>
      </c>
    </row>
    <row r="388" spans="1:15" x14ac:dyDescent="0.3">
      <c r="A388" t="s">
        <v>1122</v>
      </c>
      <c r="B388" t="s">
        <v>416</v>
      </c>
      <c r="C388" t="s">
        <v>1123</v>
      </c>
      <c r="D388" t="s">
        <v>873</v>
      </c>
      <c r="E388" t="s">
        <v>62</v>
      </c>
      <c r="F388">
        <v>7528</v>
      </c>
      <c r="G388" t="s">
        <v>17</v>
      </c>
      <c r="H388" t="s">
        <v>52</v>
      </c>
      <c r="I388" t="s">
        <v>28</v>
      </c>
      <c r="J388" t="s">
        <v>95</v>
      </c>
      <c r="K388" t="s">
        <v>69</v>
      </c>
      <c r="L388" t="s">
        <v>38</v>
      </c>
      <c r="M388">
        <f t="shared" si="18"/>
        <v>7</v>
      </c>
      <c r="N388" t="str">
        <f t="shared" si="19"/>
        <v>Low</v>
      </c>
      <c r="O388">
        <f t="shared" si="20"/>
        <v>10</v>
      </c>
    </row>
    <row r="389" spans="1:15" x14ac:dyDescent="0.3">
      <c r="A389" t="s">
        <v>1124</v>
      </c>
      <c r="B389" t="s">
        <v>102</v>
      </c>
      <c r="C389" t="s">
        <v>1125</v>
      </c>
      <c r="D389" t="s">
        <v>1126</v>
      </c>
      <c r="E389" t="s">
        <v>78</v>
      </c>
      <c r="F389">
        <v>2079</v>
      </c>
      <c r="G389" t="s">
        <v>17</v>
      </c>
      <c r="H389" t="s">
        <v>85</v>
      </c>
      <c r="I389" t="s">
        <v>19</v>
      </c>
      <c r="J389" t="s">
        <v>46</v>
      </c>
      <c r="K389" t="s">
        <v>69</v>
      </c>
      <c r="L389" t="s">
        <v>38</v>
      </c>
      <c r="M389">
        <f t="shared" si="18"/>
        <v>6</v>
      </c>
      <c r="N389" t="str">
        <f t="shared" si="19"/>
        <v>Low</v>
      </c>
      <c r="O389">
        <f t="shared" si="20"/>
        <v>30</v>
      </c>
    </row>
    <row r="390" spans="1:15" x14ac:dyDescent="0.3">
      <c r="A390" t="s">
        <v>1127</v>
      </c>
      <c r="B390" t="s">
        <v>31</v>
      </c>
      <c r="C390" t="s">
        <v>1128</v>
      </c>
      <c r="D390" t="s">
        <v>1129</v>
      </c>
      <c r="E390" t="s">
        <v>34</v>
      </c>
      <c r="F390">
        <v>5690</v>
      </c>
      <c r="G390" t="s">
        <v>17</v>
      </c>
      <c r="H390" t="s">
        <v>18</v>
      </c>
      <c r="I390" t="s">
        <v>28</v>
      </c>
      <c r="J390" t="s">
        <v>46</v>
      </c>
      <c r="K390" t="s">
        <v>96</v>
      </c>
      <c r="L390" t="s">
        <v>38</v>
      </c>
      <c r="M390">
        <f t="shared" si="18"/>
        <v>11</v>
      </c>
      <c r="N390" t="str">
        <f t="shared" si="19"/>
        <v>Low</v>
      </c>
      <c r="O390">
        <f t="shared" si="20"/>
        <v>30</v>
      </c>
    </row>
    <row r="391" spans="1:15" x14ac:dyDescent="0.3">
      <c r="A391" t="s">
        <v>1130</v>
      </c>
      <c r="B391" t="s">
        <v>606</v>
      </c>
      <c r="C391" t="s">
        <v>1131</v>
      </c>
      <c r="D391" t="s">
        <v>1007</v>
      </c>
      <c r="E391" t="s">
        <v>34</v>
      </c>
      <c r="F391">
        <v>9425</v>
      </c>
      <c r="G391" t="s">
        <v>63</v>
      </c>
      <c r="H391" t="s">
        <v>27</v>
      </c>
      <c r="I391" t="s">
        <v>19</v>
      </c>
      <c r="J391" t="s">
        <v>20</v>
      </c>
      <c r="K391" t="s">
        <v>37</v>
      </c>
      <c r="L391" t="s">
        <v>38</v>
      </c>
      <c r="M391">
        <f t="shared" si="18"/>
        <v>12</v>
      </c>
      <c r="N391" t="str">
        <f t="shared" si="19"/>
        <v>Low</v>
      </c>
      <c r="O391">
        <f t="shared" si="20"/>
        <v>10</v>
      </c>
    </row>
    <row r="392" spans="1:15" x14ac:dyDescent="0.3">
      <c r="A392" t="s">
        <v>1132</v>
      </c>
      <c r="B392" t="s">
        <v>1133</v>
      </c>
      <c r="C392" t="s">
        <v>1134</v>
      </c>
      <c r="D392" t="s">
        <v>1135</v>
      </c>
      <c r="E392" t="s">
        <v>51</v>
      </c>
      <c r="F392">
        <v>14216</v>
      </c>
      <c r="G392" t="s">
        <v>44</v>
      </c>
      <c r="H392" t="s">
        <v>113</v>
      </c>
      <c r="I392" t="s">
        <v>19</v>
      </c>
      <c r="J392" t="s">
        <v>20</v>
      </c>
      <c r="K392" t="s">
        <v>29</v>
      </c>
      <c r="L392" t="s">
        <v>38</v>
      </c>
      <c r="M392">
        <f t="shared" si="18"/>
        <v>6</v>
      </c>
      <c r="N392" t="str">
        <f t="shared" si="19"/>
        <v>Low</v>
      </c>
      <c r="O392">
        <f t="shared" si="20"/>
        <v>10</v>
      </c>
    </row>
    <row r="393" spans="1:15" x14ac:dyDescent="0.3">
      <c r="A393" t="s">
        <v>1136</v>
      </c>
      <c r="B393" t="s">
        <v>380</v>
      </c>
      <c r="C393" t="s">
        <v>1137</v>
      </c>
      <c r="D393" t="s">
        <v>578</v>
      </c>
      <c r="E393" t="s">
        <v>51</v>
      </c>
      <c r="F393">
        <v>5054</v>
      </c>
      <c r="G393" t="s">
        <v>35</v>
      </c>
      <c r="H393" t="s">
        <v>45</v>
      </c>
      <c r="I393" t="s">
        <v>28</v>
      </c>
      <c r="J393" t="s">
        <v>46</v>
      </c>
      <c r="K393" t="s">
        <v>37</v>
      </c>
      <c r="L393" t="s">
        <v>38</v>
      </c>
      <c r="M393">
        <f t="shared" si="18"/>
        <v>14</v>
      </c>
      <c r="N393" t="str">
        <f t="shared" si="19"/>
        <v>Low</v>
      </c>
      <c r="O393">
        <f t="shared" si="20"/>
        <v>30</v>
      </c>
    </row>
    <row r="394" spans="1:15" x14ac:dyDescent="0.3">
      <c r="A394" t="s">
        <v>1138</v>
      </c>
      <c r="B394" t="s">
        <v>686</v>
      </c>
      <c r="C394" t="s">
        <v>1139</v>
      </c>
      <c r="D394" t="s">
        <v>815</v>
      </c>
      <c r="E394" t="s">
        <v>16</v>
      </c>
      <c r="F394">
        <v>8580</v>
      </c>
      <c r="G394" t="s">
        <v>63</v>
      </c>
      <c r="H394" t="s">
        <v>45</v>
      </c>
      <c r="I394" t="s">
        <v>28</v>
      </c>
      <c r="J394" t="s">
        <v>20</v>
      </c>
      <c r="K394" t="s">
        <v>37</v>
      </c>
      <c r="L394" t="s">
        <v>38</v>
      </c>
      <c r="M394">
        <f t="shared" si="18"/>
        <v>18</v>
      </c>
      <c r="N394" t="str">
        <f t="shared" si="19"/>
        <v>Low</v>
      </c>
      <c r="O394">
        <f t="shared" si="20"/>
        <v>40</v>
      </c>
    </row>
    <row r="395" spans="1:15" x14ac:dyDescent="0.3">
      <c r="A395" t="s">
        <v>1140</v>
      </c>
      <c r="B395" t="s">
        <v>542</v>
      </c>
      <c r="C395" t="s">
        <v>1141</v>
      </c>
      <c r="D395" t="s">
        <v>824</v>
      </c>
      <c r="E395" t="s">
        <v>94</v>
      </c>
      <c r="F395">
        <v>5559</v>
      </c>
      <c r="G395" t="s">
        <v>63</v>
      </c>
      <c r="H395" t="s">
        <v>52</v>
      </c>
      <c r="I395" t="s">
        <v>28</v>
      </c>
      <c r="J395" t="s">
        <v>46</v>
      </c>
      <c r="K395" t="s">
        <v>80</v>
      </c>
      <c r="L395" t="s">
        <v>38</v>
      </c>
      <c r="M395">
        <f t="shared" si="18"/>
        <v>14</v>
      </c>
      <c r="N395" t="str">
        <f t="shared" si="19"/>
        <v>Low</v>
      </c>
      <c r="O395">
        <f t="shared" si="20"/>
        <v>30</v>
      </c>
    </row>
    <row r="396" spans="1:15" x14ac:dyDescent="0.3">
      <c r="A396" t="s">
        <v>1142</v>
      </c>
      <c r="B396" t="s">
        <v>278</v>
      </c>
      <c r="C396" t="s">
        <v>1143</v>
      </c>
      <c r="D396" t="s">
        <v>495</v>
      </c>
      <c r="E396" t="s">
        <v>34</v>
      </c>
      <c r="F396">
        <v>2506</v>
      </c>
      <c r="G396" t="s">
        <v>44</v>
      </c>
      <c r="H396" t="s">
        <v>105</v>
      </c>
      <c r="I396" t="s">
        <v>28</v>
      </c>
      <c r="J396" t="s">
        <v>20</v>
      </c>
      <c r="K396" t="s">
        <v>80</v>
      </c>
      <c r="L396" t="s">
        <v>38</v>
      </c>
      <c r="M396">
        <f t="shared" si="18"/>
        <v>22</v>
      </c>
      <c r="N396" t="str">
        <f t="shared" si="19"/>
        <v>Low</v>
      </c>
      <c r="O396">
        <f t="shared" si="20"/>
        <v>10</v>
      </c>
    </row>
    <row r="397" spans="1:15" x14ac:dyDescent="0.3">
      <c r="A397" t="s">
        <v>1144</v>
      </c>
      <c r="B397" t="s">
        <v>949</v>
      </c>
      <c r="C397" t="s">
        <v>1145</v>
      </c>
      <c r="D397" t="s">
        <v>166</v>
      </c>
      <c r="E397" t="s">
        <v>16</v>
      </c>
      <c r="F397">
        <v>23336</v>
      </c>
      <c r="G397" t="s">
        <v>63</v>
      </c>
      <c r="H397" t="s">
        <v>36</v>
      </c>
      <c r="I397" t="s">
        <v>28</v>
      </c>
      <c r="J397" t="s">
        <v>46</v>
      </c>
      <c r="K397" t="s">
        <v>57</v>
      </c>
      <c r="L397" t="s">
        <v>22</v>
      </c>
      <c r="M397">
        <f t="shared" si="18"/>
        <v>3</v>
      </c>
      <c r="N397" t="str">
        <f t="shared" si="19"/>
        <v>High</v>
      </c>
      <c r="O397">
        <f t="shared" si="20"/>
        <v>115</v>
      </c>
    </row>
    <row r="398" spans="1:15" x14ac:dyDescent="0.3">
      <c r="A398" t="s">
        <v>1146</v>
      </c>
      <c r="B398" t="s">
        <v>748</v>
      </c>
      <c r="C398" t="s">
        <v>1147</v>
      </c>
      <c r="D398" t="s">
        <v>1148</v>
      </c>
      <c r="E398" t="s">
        <v>62</v>
      </c>
      <c r="F398">
        <v>9422</v>
      </c>
      <c r="G398" t="s">
        <v>44</v>
      </c>
      <c r="H398" t="s">
        <v>27</v>
      </c>
      <c r="I398" t="s">
        <v>28</v>
      </c>
      <c r="J398" t="s">
        <v>95</v>
      </c>
      <c r="K398" t="s">
        <v>80</v>
      </c>
      <c r="L398" t="s">
        <v>38</v>
      </c>
      <c r="M398">
        <f t="shared" si="18"/>
        <v>12</v>
      </c>
      <c r="N398" t="str">
        <f t="shared" si="19"/>
        <v>Low</v>
      </c>
      <c r="O398">
        <f t="shared" si="20"/>
        <v>10</v>
      </c>
    </row>
    <row r="399" spans="1:15" x14ac:dyDescent="0.3">
      <c r="A399" t="s">
        <v>1149</v>
      </c>
      <c r="B399" t="s">
        <v>102</v>
      </c>
      <c r="C399" t="s">
        <v>1150</v>
      </c>
      <c r="D399" t="s">
        <v>280</v>
      </c>
      <c r="E399" t="s">
        <v>62</v>
      </c>
      <c r="F399">
        <v>2835</v>
      </c>
      <c r="G399" t="s">
        <v>79</v>
      </c>
      <c r="H399" t="s">
        <v>113</v>
      </c>
      <c r="I399" t="s">
        <v>28</v>
      </c>
      <c r="J399" t="s">
        <v>20</v>
      </c>
      <c r="K399" t="s">
        <v>80</v>
      </c>
      <c r="L399" t="s">
        <v>38</v>
      </c>
      <c r="M399">
        <f t="shared" si="18"/>
        <v>11</v>
      </c>
      <c r="N399" t="str">
        <f t="shared" si="19"/>
        <v>Low</v>
      </c>
      <c r="O399">
        <f t="shared" si="20"/>
        <v>10</v>
      </c>
    </row>
    <row r="400" spans="1:15" x14ac:dyDescent="0.3">
      <c r="A400" t="s">
        <v>1151</v>
      </c>
      <c r="B400" t="s">
        <v>580</v>
      </c>
      <c r="C400" t="s">
        <v>1152</v>
      </c>
      <c r="D400" t="s">
        <v>614</v>
      </c>
      <c r="E400" t="s">
        <v>94</v>
      </c>
      <c r="F400">
        <v>14788</v>
      </c>
      <c r="G400" t="s">
        <v>44</v>
      </c>
      <c r="H400" t="s">
        <v>45</v>
      </c>
      <c r="I400" t="s">
        <v>19</v>
      </c>
      <c r="J400" t="s">
        <v>20</v>
      </c>
      <c r="K400" t="s">
        <v>80</v>
      </c>
      <c r="L400" t="s">
        <v>38</v>
      </c>
      <c r="M400">
        <f t="shared" si="18"/>
        <v>16</v>
      </c>
      <c r="N400" t="str">
        <f t="shared" si="19"/>
        <v>Low</v>
      </c>
      <c r="O400">
        <f t="shared" si="20"/>
        <v>10</v>
      </c>
    </row>
    <row r="401" spans="1:15" x14ac:dyDescent="0.3">
      <c r="A401" t="s">
        <v>1153</v>
      </c>
      <c r="B401" t="s">
        <v>256</v>
      </c>
      <c r="C401" t="s">
        <v>1154</v>
      </c>
      <c r="D401" t="s">
        <v>1155</v>
      </c>
      <c r="E401" t="s">
        <v>62</v>
      </c>
      <c r="F401">
        <v>5478</v>
      </c>
      <c r="G401" t="s">
        <v>68</v>
      </c>
      <c r="H401" t="s">
        <v>85</v>
      </c>
      <c r="I401" t="s">
        <v>19</v>
      </c>
      <c r="J401" t="s">
        <v>95</v>
      </c>
      <c r="K401" t="s">
        <v>57</v>
      </c>
      <c r="L401" t="s">
        <v>38</v>
      </c>
      <c r="M401">
        <f t="shared" si="18"/>
        <v>17</v>
      </c>
      <c r="N401" t="str">
        <f t="shared" si="19"/>
        <v>Low</v>
      </c>
      <c r="O401">
        <f t="shared" si="20"/>
        <v>10</v>
      </c>
    </row>
    <row r="402" spans="1:15" x14ac:dyDescent="0.3">
      <c r="A402" t="s">
        <v>1156</v>
      </c>
      <c r="B402" t="s">
        <v>515</v>
      </c>
      <c r="C402" t="s">
        <v>1157</v>
      </c>
      <c r="D402" t="s">
        <v>702</v>
      </c>
      <c r="E402" t="s">
        <v>51</v>
      </c>
      <c r="F402">
        <v>10218</v>
      </c>
      <c r="G402" t="s">
        <v>44</v>
      </c>
      <c r="H402" t="s">
        <v>18</v>
      </c>
      <c r="I402" t="s">
        <v>28</v>
      </c>
      <c r="J402" t="s">
        <v>20</v>
      </c>
      <c r="K402" t="s">
        <v>21</v>
      </c>
      <c r="L402" t="s">
        <v>38</v>
      </c>
      <c r="M402">
        <f t="shared" si="18"/>
        <v>8</v>
      </c>
      <c r="N402" t="str">
        <f t="shared" si="19"/>
        <v>Low</v>
      </c>
      <c r="O402">
        <f t="shared" si="20"/>
        <v>10</v>
      </c>
    </row>
    <row r="403" spans="1:15" x14ac:dyDescent="0.3">
      <c r="A403" t="s">
        <v>1158</v>
      </c>
      <c r="B403" t="s">
        <v>194</v>
      </c>
      <c r="C403" t="s">
        <v>1159</v>
      </c>
      <c r="D403" t="s">
        <v>427</v>
      </c>
      <c r="E403" t="s">
        <v>16</v>
      </c>
      <c r="F403">
        <v>39762</v>
      </c>
      <c r="G403" t="s">
        <v>44</v>
      </c>
      <c r="H403" t="s">
        <v>36</v>
      </c>
      <c r="I403" t="s">
        <v>28</v>
      </c>
      <c r="J403" t="s">
        <v>20</v>
      </c>
      <c r="K403" t="s">
        <v>29</v>
      </c>
      <c r="L403" t="s">
        <v>22</v>
      </c>
      <c r="M403">
        <f t="shared" si="18"/>
        <v>1</v>
      </c>
      <c r="N403" t="str">
        <f t="shared" si="19"/>
        <v>High</v>
      </c>
      <c r="O403">
        <f t="shared" si="20"/>
        <v>95</v>
      </c>
    </row>
    <row r="404" spans="1:15" x14ac:dyDescent="0.3">
      <c r="A404" t="s">
        <v>1160</v>
      </c>
      <c r="B404" t="s">
        <v>580</v>
      </c>
      <c r="C404" t="s">
        <v>1161</v>
      </c>
      <c r="D404" t="s">
        <v>1003</v>
      </c>
      <c r="E404" t="s">
        <v>94</v>
      </c>
      <c r="F404">
        <v>8038</v>
      </c>
      <c r="G404" t="s">
        <v>44</v>
      </c>
      <c r="H404" t="s">
        <v>105</v>
      </c>
      <c r="I404" t="s">
        <v>19</v>
      </c>
      <c r="J404" t="s">
        <v>20</v>
      </c>
      <c r="K404" t="s">
        <v>57</v>
      </c>
      <c r="L404" t="s">
        <v>38</v>
      </c>
      <c r="M404">
        <f t="shared" si="18"/>
        <v>16</v>
      </c>
      <c r="N404" t="str">
        <f t="shared" si="19"/>
        <v>Low</v>
      </c>
      <c r="O404">
        <f t="shared" si="20"/>
        <v>10</v>
      </c>
    </row>
    <row r="405" spans="1:15" x14ac:dyDescent="0.3">
      <c r="A405" t="s">
        <v>1162</v>
      </c>
      <c r="B405" t="s">
        <v>224</v>
      </c>
      <c r="C405" t="s">
        <v>479</v>
      </c>
      <c r="D405" t="s">
        <v>1163</v>
      </c>
      <c r="E405" t="s">
        <v>51</v>
      </c>
      <c r="F405">
        <v>2812</v>
      </c>
      <c r="G405" t="s">
        <v>17</v>
      </c>
      <c r="H405" t="s">
        <v>36</v>
      </c>
      <c r="I405" t="s">
        <v>28</v>
      </c>
      <c r="J405" t="s">
        <v>20</v>
      </c>
      <c r="K405" t="s">
        <v>57</v>
      </c>
      <c r="L405" t="s">
        <v>38</v>
      </c>
      <c r="M405">
        <f t="shared" si="18"/>
        <v>11</v>
      </c>
      <c r="N405" t="str">
        <f t="shared" si="19"/>
        <v>Low</v>
      </c>
      <c r="O405">
        <f t="shared" si="20"/>
        <v>10</v>
      </c>
    </row>
    <row r="406" spans="1:15" x14ac:dyDescent="0.3">
      <c r="A406" t="s">
        <v>1164</v>
      </c>
      <c r="B406" t="s">
        <v>333</v>
      </c>
      <c r="C406" t="s">
        <v>1165</v>
      </c>
      <c r="D406" t="s">
        <v>1013</v>
      </c>
      <c r="E406" t="s">
        <v>94</v>
      </c>
      <c r="F406">
        <v>668</v>
      </c>
      <c r="G406" t="s">
        <v>63</v>
      </c>
      <c r="H406" t="s">
        <v>45</v>
      </c>
      <c r="I406" t="s">
        <v>19</v>
      </c>
      <c r="J406" t="s">
        <v>46</v>
      </c>
      <c r="K406" t="s">
        <v>96</v>
      </c>
      <c r="L406" t="s">
        <v>38</v>
      </c>
      <c r="M406">
        <f t="shared" si="18"/>
        <v>12</v>
      </c>
      <c r="N406" t="str">
        <f t="shared" si="19"/>
        <v>Low</v>
      </c>
      <c r="O406">
        <f t="shared" si="20"/>
        <v>30</v>
      </c>
    </row>
    <row r="407" spans="1:15" x14ac:dyDescent="0.3">
      <c r="A407" t="s">
        <v>1166</v>
      </c>
      <c r="B407" t="s">
        <v>532</v>
      </c>
      <c r="C407" t="s">
        <v>1167</v>
      </c>
      <c r="D407" t="s">
        <v>272</v>
      </c>
      <c r="E407" t="s">
        <v>94</v>
      </c>
      <c r="F407">
        <v>4126</v>
      </c>
      <c r="G407" t="s">
        <v>79</v>
      </c>
      <c r="H407" t="s">
        <v>113</v>
      </c>
      <c r="I407" t="s">
        <v>19</v>
      </c>
      <c r="J407" t="s">
        <v>46</v>
      </c>
      <c r="K407" t="s">
        <v>57</v>
      </c>
      <c r="L407" t="s">
        <v>38</v>
      </c>
      <c r="M407">
        <f t="shared" si="18"/>
        <v>13</v>
      </c>
      <c r="N407" t="str">
        <f t="shared" si="19"/>
        <v>Low</v>
      </c>
      <c r="O407">
        <f t="shared" si="20"/>
        <v>30</v>
      </c>
    </row>
    <row r="408" spans="1:15" x14ac:dyDescent="0.3">
      <c r="A408" t="s">
        <v>1168</v>
      </c>
      <c r="B408" t="s">
        <v>31</v>
      </c>
      <c r="C408" t="s">
        <v>1169</v>
      </c>
      <c r="D408" t="s">
        <v>617</v>
      </c>
      <c r="E408" t="s">
        <v>62</v>
      </c>
      <c r="F408">
        <v>1119</v>
      </c>
      <c r="G408" t="s">
        <v>35</v>
      </c>
      <c r="H408" t="s">
        <v>45</v>
      </c>
      <c r="I408" t="s">
        <v>28</v>
      </c>
      <c r="J408" t="s">
        <v>46</v>
      </c>
      <c r="K408" t="s">
        <v>80</v>
      </c>
      <c r="L408" t="s">
        <v>38</v>
      </c>
      <c r="M408">
        <f t="shared" si="18"/>
        <v>7</v>
      </c>
      <c r="N408" t="str">
        <f t="shared" si="19"/>
        <v>Low</v>
      </c>
      <c r="O408">
        <f t="shared" si="20"/>
        <v>30</v>
      </c>
    </row>
    <row r="409" spans="1:15" x14ac:dyDescent="0.3">
      <c r="A409" t="s">
        <v>1170</v>
      </c>
      <c r="B409" t="s">
        <v>389</v>
      </c>
      <c r="C409" t="s">
        <v>1171</v>
      </c>
      <c r="D409" t="s">
        <v>1092</v>
      </c>
      <c r="E409" t="s">
        <v>34</v>
      </c>
      <c r="F409">
        <v>8081</v>
      </c>
      <c r="G409" t="s">
        <v>35</v>
      </c>
      <c r="H409" t="s">
        <v>36</v>
      </c>
      <c r="I409" t="s">
        <v>19</v>
      </c>
      <c r="J409" t="s">
        <v>20</v>
      </c>
      <c r="K409" t="s">
        <v>29</v>
      </c>
      <c r="L409" t="s">
        <v>38</v>
      </c>
      <c r="M409">
        <f t="shared" si="18"/>
        <v>17</v>
      </c>
      <c r="N409" t="str">
        <f t="shared" si="19"/>
        <v>Low</v>
      </c>
      <c r="O409">
        <f t="shared" si="20"/>
        <v>10</v>
      </c>
    </row>
    <row r="410" spans="1:15" x14ac:dyDescent="0.3">
      <c r="A410" t="s">
        <v>1172</v>
      </c>
      <c r="B410" t="s">
        <v>474</v>
      </c>
      <c r="C410" t="s">
        <v>564</v>
      </c>
      <c r="D410" t="s">
        <v>511</v>
      </c>
      <c r="E410" t="s">
        <v>78</v>
      </c>
      <c r="F410">
        <v>409</v>
      </c>
      <c r="G410" t="s">
        <v>44</v>
      </c>
      <c r="H410" t="s">
        <v>105</v>
      </c>
      <c r="I410" t="s">
        <v>28</v>
      </c>
      <c r="J410" t="s">
        <v>20</v>
      </c>
      <c r="K410" t="s">
        <v>80</v>
      </c>
      <c r="L410" t="s">
        <v>38</v>
      </c>
      <c r="M410">
        <f t="shared" si="18"/>
        <v>22</v>
      </c>
      <c r="N410" t="str">
        <f t="shared" si="19"/>
        <v>Low</v>
      </c>
      <c r="O410">
        <f t="shared" si="20"/>
        <v>10</v>
      </c>
    </row>
    <row r="411" spans="1:15" x14ac:dyDescent="0.3">
      <c r="A411" t="s">
        <v>1173</v>
      </c>
      <c r="B411" t="s">
        <v>887</v>
      </c>
      <c r="C411" t="s">
        <v>558</v>
      </c>
      <c r="D411" t="s">
        <v>1174</v>
      </c>
      <c r="E411" t="s">
        <v>94</v>
      </c>
      <c r="F411">
        <v>9780</v>
      </c>
      <c r="G411" t="s">
        <v>68</v>
      </c>
      <c r="H411" t="s">
        <v>105</v>
      </c>
      <c r="I411" t="s">
        <v>19</v>
      </c>
      <c r="J411" t="s">
        <v>20</v>
      </c>
      <c r="K411" t="s">
        <v>80</v>
      </c>
      <c r="L411" t="s">
        <v>38</v>
      </c>
      <c r="M411">
        <f t="shared" si="18"/>
        <v>7</v>
      </c>
      <c r="N411" t="str">
        <f t="shared" si="19"/>
        <v>Low</v>
      </c>
      <c r="O411">
        <f t="shared" si="20"/>
        <v>10</v>
      </c>
    </row>
    <row r="412" spans="1:15" x14ac:dyDescent="0.3">
      <c r="A412" t="s">
        <v>1175</v>
      </c>
      <c r="B412" t="s">
        <v>539</v>
      </c>
      <c r="C412" t="s">
        <v>1176</v>
      </c>
      <c r="D412" t="s">
        <v>137</v>
      </c>
      <c r="E412" t="s">
        <v>51</v>
      </c>
      <c r="F412">
        <v>2074</v>
      </c>
      <c r="G412" t="s">
        <v>17</v>
      </c>
      <c r="H412" t="s">
        <v>27</v>
      </c>
      <c r="I412" t="s">
        <v>19</v>
      </c>
      <c r="J412" t="s">
        <v>95</v>
      </c>
      <c r="K412" t="s">
        <v>37</v>
      </c>
      <c r="L412" t="s">
        <v>38</v>
      </c>
      <c r="M412">
        <f t="shared" si="18"/>
        <v>14</v>
      </c>
      <c r="N412" t="str">
        <f t="shared" si="19"/>
        <v>Low</v>
      </c>
      <c r="O412">
        <f t="shared" si="20"/>
        <v>10</v>
      </c>
    </row>
    <row r="413" spans="1:15" x14ac:dyDescent="0.3">
      <c r="A413" t="s">
        <v>1177</v>
      </c>
      <c r="B413" t="s">
        <v>522</v>
      </c>
      <c r="C413" t="s">
        <v>1178</v>
      </c>
      <c r="D413" t="s">
        <v>1179</v>
      </c>
      <c r="E413" t="s">
        <v>16</v>
      </c>
      <c r="F413">
        <v>88197</v>
      </c>
      <c r="G413" t="s">
        <v>68</v>
      </c>
      <c r="H413" t="s">
        <v>18</v>
      </c>
      <c r="I413" t="s">
        <v>19</v>
      </c>
      <c r="J413" t="s">
        <v>20</v>
      </c>
      <c r="K413" t="s">
        <v>37</v>
      </c>
      <c r="L413" t="s">
        <v>22</v>
      </c>
      <c r="M413">
        <f t="shared" si="18"/>
        <v>2</v>
      </c>
      <c r="N413" t="str">
        <f t="shared" si="19"/>
        <v>High</v>
      </c>
      <c r="O413">
        <f t="shared" si="20"/>
        <v>95</v>
      </c>
    </row>
    <row r="414" spans="1:15" x14ac:dyDescent="0.3">
      <c r="A414" t="s">
        <v>1180</v>
      </c>
      <c r="B414" t="s">
        <v>542</v>
      </c>
      <c r="C414" t="s">
        <v>1181</v>
      </c>
      <c r="D414" t="s">
        <v>228</v>
      </c>
      <c r="E414" t="s">
        <v>34</v>
      </c>
      <c r="F414">
        <v>10027</v>
      </c>
      <c r="G414" t="s">
        <v>17</v>
      </c>
      <c r="H414" t="s">
        <v>27</v>
      </c>
      <c r="I414" t="s">
        <v>28</v>
      </c>
      <c r="J414" t="s">
        <v>46</v>
      </c>
      <c r="K414" t="s">
        <v>80</v>
      </c>
      <c r="L414" t="s">
        <v>38</v>
      </c>
      <c r="M414">
        <f t="shared" si="18"/>
        <v>12</v>
      </c>
      <c r="N414" t="str">
        <f t="shared" si="19"/>
        <v>Low</v>
      </c>
      <c r="O414">
        <f t="shared" si="20"/>
        <v>30</v>
      </c>
    </row>
    <row r="415" spans="1:15" x14ac:dyDescent="0.3">
      <c r="A415" t="s">
        <v>1182</v>
      </c>
      <c r="B415" t="s">
        <v>443</v>
      </c>
      <c r="C415" t="s">
        <v>840</v>
      </c>
      <c r="D415" t="s">
        <v>454</v>
      </c>
      <c r="E415" t="s">
        <v>78</v>
      </c>
      <c r="F415">
        <v>9030</v>
      </c>
      <c r="G415" t="s">
        <v>68</v>
      </c>
      <c r="H415" t="s">
        <v>85</v>
      </c>
      <c r="I415" t="s">
        <v>28</v>
      </c>
      <c r="J415" t="s">
        <v>95</v>
      </c>
      <c r="K415" t="s">
        <v>29</v>
      </c>
      <c r="L415" t="s">
        <v>38</v>
      </c>
      <c r="M415">
        <f t="shared" si="18"/>
        <v>21</v>
      </c>
      <c r="N415" t="str">
        <f t="shared" si="19"/>
        <v>Low</v>
      </c>
      <c r="O415">
        <f t="shared" si="20"/>
        <v>10</v>
      </c>
    </row>
    <row r="416" spans="1:15" x14ac:dyDescent="0.3">
      <c r="A416" t="s">
        <v>1183</v>
      </c>
      <c r="B416" t="s">
        <v>755</v>
      </c>
      <c r="C416" t="s">
        <v>1184</v>
      </c>
      <c r="D416" t="s">
        <v>578</v>
      </c>
      <c r="E416" t="s">
        <v>34</v>
      </c>
      <c r="F416">
        <v>14908</v>
      </c>
      <c r="G416" t="s">
        <v>79</v>
      </c>
      <c r="H416" t="s">
        <v>85</v>
      </c>
      <c r="I416" t="s">
        <v>19</v>
      </c>
      <c r="J416" t="s">
        <v>95</v>
      </c>
      <c r="K416" t="s">
        <v>96</v>
      </c>
      <c r="L416" t="s">
        <v>38</v>
      </c>
      <c r="M416">
        <f t="shared" si="18"/>
        <v>9</v>
      </c>
      <c r="N416" t="str">
        <f t="shared" si="19"/>
        <v>Low</v>
      </c>
      <c r="O416">
        <f t="shared" si="20"/>
        <v>10</v>
      </c>
    </row>
    <row r="417" spans="1:15" x14ac:dyDescent="0.3">
      <c r="A417" t="s">
        <v>1185</v>
      </c>
      <c r="B417" t="s">
        <v>960</v>
      </c>
      <c r="C417" t="s">
        <v>1186</v>
      </c>
      <c r="D417" t="s">
        <v>951</v>
      </c>
      <c r="E417" t="s">
        <v>94</v>
      </c>
      <c r="F417">
        <v>1709</v>
      </c>
      <c r="G417" t="s">
        <v>68</v>
      </c>
      <c r="H417" t="s">
        <v>52</v>
      </c>
      <c r="I417" t="s">
        <v>28</v>
      </c>
      <c r="J417" t="s">
        <v>20</v>
      </c>
      <c r="K417" t="s">
        <v>57</v>
      </c>
      <c r="L417" t="s">
        <v>38</v>
      </c>
      <c r="M417">
        <f t="shared" si="18"/>
        <v>14</v>
      </c>
      <c r="N417" t="str">
        <f t="shared" si="19"/>
        <v>Low</v>
      </c>
      <c r="O417">
        <f t="shared" si="20"/>
        <v>10</v>
      </c>
    </row>
    <row r="418" spans="1:15" x14ac:dyDescent="0.3">
      <c r="A418" t="s">
        <v>1187</v>
      </c>
      <c r="B418" t="s">
        <v>404</v>
      </c>
      <c r="C418" t="s">
        <v>1188</v>
      </c>
      <c r="D418" t="s">
        <v>358</v>
      </c>
      <c r="E418" t="s">
        <v>34</v>
      </c>
      <c r="F418">
        <v>14371</v>
      </c>
      <c r="G418" t="s">
        <v>68</v>
      </c>
      <c r="H418" t="s">
        <v>45</v>
      </c>
      <c r="I418" t="s">
        <v>28</v>
      </c>
      <c r="J418" t="s">
        <v>46</v>
      </c>
      <c r="K418" t="s">
        <v>80</v>
      </c>
      <c r="L418" t="s">
        <v>38</v>
      </c>
      <c r="M418">
        <f t="shared" si="18"/>
        <v>7</v>
      </c>
      <c r="N418" t="str">
        <f t="shared" si="19"/>
        <v>Low</v>
      </c>
      <c r="O418">
        <f t="shared" si="20"/>
        <v>30</v>
      </c>
    </row>
    <row r="419" spans="1:15" x14ac:dyDescent="0.3">
      <c r="A419" t="s">
        <v>1189</v>
      </c>
      <c r="B419" t="s">
        <v>1190</v>
      </c>
      <c r="C419" t="s">
        <v>1191</v>
      </c>
      <c r="D419" t="s">
        <v>246</v>
      </c>
      <c r="E419" t="s">
        <v>43</v>
      </c>
      <c r="F419">
        <v>14636</v>
      </c>
      <c r="G419" t="s">
        <v>17</v>
      </c>
      <c r="H419" t="s">
        <v>113</v>
      </c>
      <c r="I419" t="s">
        <v>28</v>
      </c>
      <c r="J419" t="s">
        <v>20</v>
      </c>
      <c r="K419" t="s">
        <v>37</v>
      </c>
      <c r="L419" t="s">
        <v>38</v>
      </c>
      <c r="M419">
        <f t="shared" si="18"/>
        <v>7</v>
      </c>
      <c r="N419" t="str">
        <f t="shared" si="19"/>
        <v>Low</v>
      </c>
      <c r="O419">
        <f t="shared" si="20"/>
        <v>10</v>
      </c>
    </row>
    <row r="420" spans="1:15" x14ac:dyDescent="0.3">
      <c r="A420" t="s">
        <v>1192</v>
      </c>
      <c r="B420" t="s">
        <v>490</v>
      </c>
      <c r="C420" t="s">
        <v>1193</v>
      </c>
      <c r="D420" t="s">
        <v>288</v>
      </c>
      <c r="E420" t="s">
        <v>62</v>
      </c>
      <c r="F420">
        <v>12060</v>
      </c>
      <c r="G420" t="s">
        <v>17</v>
      </c>
      <c r="H420" t="s">
        <v>18</v>
      </c>
      <c r="I420" t="s">
        <v>28</v>
      </c>
      <c r="J420" t="s">
        <v>46</v>
      </c>
      <c r="K420" t="s">
        <v>57</v>
      </c>
      <c r="L420" t="s">
        <v>38</v>
      </c>
      <c r="M420">
        <f t="shared" si="18"/>
        <v>8</v>
      </c>
      <c r="N420" t="str">
        <f t="shared" si="19"/>
        <v>Low</v>
      </c>
      <c r="O420">
        <f t="shared" si="20"/>
        <v>30</v>
      </c>
    </row>
    <row r="421" spans="1:15" x14ac:dyDescent="0.3">
      <c r="A421" t="s">
        <v>1194</v>
      </c>
      <c r="B421" t="s">
        <v>592</v>
      </c>
      <c r="C421" t="s">
        <v>838</v>
      </c>
      <c r="D421" t="s">
        <v>84</v>
      </c>
      <c r="E421" t="s">
        <v>34</v>
      </c>
      <c r="F421">
        <v>11353</v>
      </c>
      <c r="G421" t="s">
        <v>63</v>
      </c>
      <c r="H421" t="s">
        <v>113</v>
      </c>
      <c r="I421" t="s">
        <v>19</v>
      </c>
      <c r="J421" t="s">
        <v>46</v>
      </c>
      <c r="K421" t="s">
        <v>29</v>
      </c>
      <c r="L421" t="s">
        <v>38</v>
      </c>
      <c r="M421">
        <f t="shared" si="18"/>
        <v>21</v>
      </c>
      <c r="N421" t="str">
        <f t="shared" si="19"/>
        <v>Low</v>
      </c>
      <c r="O421">
        <f t="shared" si="20"/>
        <v>30</v>
      </c>
    </row>
    <row r="422" spans="1:15" x14ac:dyDescent="0.3">
      <c r="A422" t="s">
        <v>1195</v>
      </c>
      <c r="B422" t="s">
        <v>681</v>
      </c>
      <c r="C422" t="s">
        <v>1196</v>
      </c>
      <c r="D422" t="s">
        <v>635</v>
      </c>
      <c r="E422" t="s">
        <v>43</v>
      </c>
      <c r="F422">
        <v>13883</v>
      </c>
      <c r="G422" t="s">
        <v>79</v>
      </c>
      <c r="H422" t="s">
        <v>85</v>
      </c>
      <c r="I422" t="s">
        <v>28</v>
      </c>
      <c r="J422" t="s">
        <v>46</v>
      </c>
      <c r="K422" t="s">
        <v>29</v>
      </c>
      <c r="L422" t="s">
        <v>38</v>
      </c>
      <c r="M422">
        <f t="shared" si="18"/>
        <v>11</v>
      </c>
      <c r="N422" t="str">
        <f t="shared" si="19"/>
        <v>Low</v>
      </c>
      <c r="O422">
        <f t="shared" si="20"/>
        <v>30</v>
      </c>
    </row>
    <row r="423" spans="1:15" x14ac:dyDescent="0.3">
      <c r="A423" t="s">
        <v>1197</v>
      </c>
      <c r="B423" t="s">
        <v>274</v>
      </c>
      <c r="C423" t="s">
        <v>185</v>
      </c>
      <c r="D423" t="s">
        <v>897</v>
      </c>
      <c r="E423" t="s">
        <v>34</v>
      </c>
      <c r="F423">
        <v>10066</v>
      </c>
      <c r="G423" t="s">
        <v>68</v>
      </c>
      <c r="H423" t="s">
        <v>113</v>
      </c>
      <c r="I423" t="s">
        <v>28</v>
      </c>
      <c r="J423" t="s">
        <v>95</v>
      </c>
      <c r="K423" t="s">
        <v>57</v>
      </c>
      <c r="L423" t="s">
        <v>38</v>
      </c>
      <c r="M423">
        <f t="shared" si="18"/>
        <v>6</v>
      </c>
      <c r="N423" t="str">
        <f t="shared" si="19"/>
        <v>Low</v>
      </c>
      <c r="O423">
        <f t="shared" si="20"/>
        <v>10</v>
      </c>
    </row>
    <row r="424" spans="1:15" x14ac:dyDescent="0.3">
      <c r="A424" t="s">
        <v>1198</v>
      </c>
      <c r="B424" t="s">
        <v>194</v>
      </c>
      <c r="C424" t="s">
        <v>1199</v>
      </c>
      <c r="D424" t="s">
        <v>314</v>
      </c>
      <c r="E424" t="s">
        <v>94</v>
      </c>
      <c r="F424">
        <v>1087</v>
      </c>
      <c r="G424" t="s">
        <v>79</v>
      </c>
      <c r="H424" t="s">
        <v>27</v>
      </c>
      <c r="I424" t="s">
        <v>28</v>
      </c>
      <c r="J424" t="s">
        <v>46</v>
      </c>
      <c r="K424" t="s">
        <v>21</v>
      </c>
      <c r="L424" t="s">
        <v>38</v>
      </c>
      <c r="M424">
        <f t="shared" si="18"/>
        <v>14</v>
      </c>
      <c r="N424" t="str">
        <f t="shared" si="19"/>
        <v>Low</v>
      </c>
      <c r="O424">
        <f t="shared" si="20"/>
        <v>30</v>
      </c>
    </row>
    <row r="425" spans="1:15" x14ac:dyDescent="0.3">
      <c r="A425" t="s">
        <v>1200</v>
      </c>
      <c r="B425" t="s">
        <v>347</v>
      </c>
      <c r="C425" t="s">
        <v>1015</v>
      </c>
      <c r="D425" t="s">
        <v>556</v>
      </c>
      <c r="E425" t="s">
        <v>94</v>
      </c>
      <c r="F425">
        <v>1610</v>
      </c>
      <c r="G425" t="s">
        <v>63</v>
      </c>
      <c r="H425" t="s">
        <v>85</v>
      </c>
      <c r="I425" t="s">
        <v>28</v>
      </c>
      <c r="J425" t="s">
        <v>95</v>
      </c>
      <c r="K425" t="s">
        <v>80</v>
      </c>
      <c r="L425" t="s">
        <v>38</v>
      </c>
      <c r="M425">
        <f t="shared" si="18"/>
        <v>19</v>
      </c>
      <c r="N425" t="str">
        <f t="shared" si="19"/>
        <v>Low</v>
      </c>
      <c r="O425">
        <f t="shared" si="20"/>
        <v>10</v>
      </c>
    </row>
    <row r="426" spans="1:15" x14ac:dyDescent="0.3">
      <c r="A426" t="s">
        <v>1201</v>
      </c>
      <c r="B426" t="s">
        <v>820</v>
      </c>
      <c r="C426" t="s">
        <v>1202</v>
      </c>
      <c r="D426" t="s">
        <v>729</v>
      </c>
      <c r="E426" t="s">
        <v>43</v>
      </c>
      <c r="F426">
        <v>13796</v>
      </c>
      <c r="G426" t="s">
        <v>17</v>
      </c>
      <c r="H426" t="s">
        <v>113</v>
      </c>
      <c r="I426" t="s">
        <v>28</v>
      </c>
      <c r="J426" t="s">
        <v>95</v>
      </c>
      <c r="K426" t="s">
        <v>69</v>
      </c>
      <c r="L426" t="s">
        <v>38</v>
      </c>
      <c r="M426">
        <f t="shared" si="18"/>
        <v>7</v>
      </c>
      <c r="N426" t="str">
        <f t="shared" si="19"/>
        <v>Low</v>
      </c>
      <c r="O426">
        <f t="shared" si="20"/>
        <v>10</v>
      </c>
    </row>
    <row r="427" spans="1:15" x14ac:dyDescent="0.3">
      <c r="A427" t="s">
        <v>1203</v>
      </c>
      <c r="B427" t="s">
        <v>143</v>
      </c>
      <c r="C427" t="s">
        <v>1204</v>
      </c>
      <c r="D427" t="s">
        <v>162</v>
      </c>
      <c r="E427" t="s">
        <v>16</v>
      </c>
      <c r="F427">
        <v>84441</v>
      </c>
      <c r="G427" t="s">
        <v>35</v>
      </c>
      <c r="H427" t="s">
        <v>52</v>
      </c>
      <c r="I427" t="s">
        <v>19</v>
      </c>
      <c r="J427" t="s">
        <v>20</v>
      </c>
      <c r="K427" t="s">
        <v>21</v>
      </c>
      <c r="L427" t="s">
        <v>22</v>
      </c>
      <c r="M427">
        <f t="shared" si="18"/>
        <v>2</v>
      </c>
      <c r="N427" t="str">
        <f t="shared" si="19"/>
        <v>High</v>
      </c>
      <c r="O427">
        <f t="shared" si="20"/>
        <v>95</v>
      </c>
    </row>
    <row r="428" spans="1:15" x14ac:dyDescent="0.3">
      <c r="A428" t="s">
        <v>1205</v>
      </c>
      <c r="B428" t="s">
        <v>1030</v>
      </c>
      <c r="C428" t="s">
        <v>1206</v>
      </c>
      <c r="D428" t="s">
        <v>1010</v>
      </c>
      <c r="E428" t="s">
        <v>43</v>
      </c>
      <c r="F428">
        <v>6657</v>
      </c>
      <c r="G428" t="s">
        <v>17</v>
      </c>
      <c r="H428" t="s">
        <v>85</v>
      </c>
      <c r="I428" t="s">
        <v>19</v>
      </c>
      <c r="J428" t="s">
        <v>46</v>
      </c>
      <c r="K428" t="s">
        <v>69</v>
      </c>
      <c r="L428" t="s">
        <v>38</v>
      </c>
      <c r="M428">
        <f t="shared" si="18"/>
        <v>13</v>
      </c>
      <c r="N428" t="str">
        <f t="shared" si="19"/>
        <v>Low</v>
      </c>
      <c r="O428">
        <f t="shared" si="20"/>
        <v>30</v>
      </c>
    </row>
    <row r="429" spans="1:15" x14ac:dyDescent="0.3">
      <c r="A429" t="s">
        <v>1207</v>
      </c>
      <c r="B429" t="s">
        <v>393</v>
      </c>
      <c r="C429" t="s">
        <v>405</v>
      </c>
      <c r="D429" t="s">
        <v>654</v>
      </c>
      <c r="E429" t="s">
        <v>43</v>
      </c>
      <c r="F429">
        <v>8198</v>
      </c>
      <c r="G429" t="s">
        <v>68</v>
      </c>
      <c r="H429" t="s">
        <v>105</v>
      </c>
      <c r="I429" t="s">
        <v>19</v>
      </c>
      <c r="J429" t="s">
        <v>46</v>
      </c>
      <c r="K429" t="s">
        <v>69</v>
      </c>
      <c r="L429" t="s">
        <v>38</v>
      </c>
      <c r="M429">
        <f t="shared" si="18"/>
        <v>6</v>
      </c>
      <c r="N429" t="str">
        <f t="shared" si="19"/>
        <v>Low</v>
      </c>
      <c r="O429">
        <f t="shared" si="20"/>
        <v>30</v>
      </c>
    </row>
    <row r="430" spans="1:15" x14ac:dyDescent="0.3">
      <c r="A430" t="s">
        <v>1208</v>
      </c>
      <c r="B430" t="s">
        <v>176</v>
      </c>
      <c r="C430" t="s">
        <v>1209</v>
      </c>
      <c r="D430" t="s">
        <v>192</v>
      </c>
      <c r="E430" t="s">
        <v>16</v>
      </c>
      <c r="F430">
        <v>10495</v>
      </c>
      <c r="G430" t="s">
        <v>68</v>
      </c>
      <c r="H430" t="s">
        <v>85</v>
      </c>
      <c r="I430" t="s">
        <v>28</v>
      </c>
      <c r="J430" t="s">
        <v>95</v>
      </c>
      <c r="K430" t="s">
        <v>37</v>
      </c>
      <c r="L430" t="s">
        <v>38</v>
      </c>
      <c r="M430">
        <f t="shared" si="18"/>
        <v>15</v>
      </c>
      <c r="N430" t="str">
        <f t="shared" si="19"/>
        <v>Low</v>
      </c>
      <c r="O430">
        <f t="shared" si="20"/>
        <v>40</v>
      </c>
    </row>
    <row r="431" spans="1:15" x14ac:dyDescent="0.3">
      <c r="A431" t="s">
        <v>1210</v>
      </c>
      <c r="B431" t="s">
        <v>507</v>
      </c>
      <c r="C431" t="s">
        <v>586</v>
      </c>
      <c r="D431" t="s">
        <v>93</v>
      </c>
      <c r="E431" t="s">
        <v>94</v>
      </c>
      <c r="F431">
        <v>5489</v>
      </c>
      <c r="G431" t="s">
        <v>63</v>
      </c>
      <c r="H431" t="s">
        <v>85</v>
      </c>
      <c r="I431" t="s">
        <v>19</v>
      </c>
      <c r="J431" t="s">
        <v>95</v>
      </c>
      <c r="K431" t="s">
        <v>96</v>
      </c>
      <c r="L431" t="s">
        <v>38</v>
      </c>
      <c r="M431">
        <f t="shared" si="18"/>
        <v>21</v>
      </c>
      <c r="N431" t="str">
        <f t="shared" si="19"/>
        <v>Low</v>
      </c>
      <c r="O431">
        <f t="shared" si="20"/>
        <v>10</v>
      </c>
    </row>
    <row r="432" spans="1:15" x14ac:dyDescent="0.3">
      <c r="A432" t="s">
        <v>1211</v>
      </c>
      <c r="B432" t="s">
        <v>768</v>
      </c>
      <c r="C432" t="s">
        <v>1212</v>
      </c>
      <c r="D432" t="s">
        <v>916</v>
      </c>
      <c r="E432" t="s">
        <v>16</v>
      </c>
      <c r="F432">
        <v>66548</v>
      </c>
      <c r="G432" t="s">
        <v>17</v>
      </c>
      <c r="H432" t="s">
        <v>18</v>
      </c>
      <c r="I432" t="s">
        <v>19</v>
      </c>
      <c r="J432" t="s">
        <v>46</v>
      </c>
      <c r="K432" t="s">
        <v>29</v>
      </c>
      <c r="L432" t="s">
        <v>22</v>
      </c>
      <c r="M432">
        <f t="shared" si="18"/>
        <v>2</v>
      </c>
      <c r="N432" t="str">
        <f t="shared" si="19"/>
        <v>High</v>
      </c>
      <c r="O432">
        <f t="shared" si="20"/>
        <v>115</v>
      </c>
    </row>
    <row r="433" spans="1:15" x14ac:dyDescent="0.3">
      <c r="A433" t="s">
        <v>1213</v>
      </c>
      <c r="B433" t="s">
        <v>1045</v>
      </c>
      <c r="C433" t="s">
        <v>1214</v>
      </c>
      <c r="D433" t="s">
        <v>258</v>
      </c>
      <c r="E433" t="s">
        <v>43</v>
      </c>
      <c r="F433">
        <v>12215</v>
      </c>
      <c r="G433" t="s">
        <v>17</v>
      </c>
      <c r="H433" t="s">
        <v>27</v>
      </c>
      <c r="I433" t="s">
        <v>19</v>
      </c>
      <c r="J433" t="s">
        <v>46</v>
      </c>
      <c r="K433" t="s">
        <v>96</v>
      </c>
      <c r="L433" t="s">
        <v>38</v>
      </c>
      <c r="M433">
        <f t="shared" si="18"/>
        <v>19</v>
      </c>
      <c r="N433" t="str">
        <f t="shared" si="19"/>
        <v>Low</v>
      </c>
      <c r="O433">
        <f t="shared" si="20"/>
        <v>30</v>
      </c>
    </row>
    <row r="434" spans="1:15" x14ac:dyDescent="0.3">
      <c r="A434" t="s">
        <v>1215</v>
      </c>
      <c r="B434" t="s">
        <v>40</v>
      </c>
      <c r="C434" t="s">
        <v>1216</v>
      </c>
      <c r="D434" t="s">
        <v>166</v>
      </c>
      <c r="E434" t="s">
        <v>94</v>
      </c>
      <c r="F434">
        <v>12852</v>
      </c>
      <c r="G434" t="s">
        <v>63</v>
      </c>
      <c r="H434" t="s">
        <v>36</v>
      </c>
      <c r="I434" t="s">
        <v>19</v>
      </c>
      <c r="J434" t="s">
        <v>46</v>
      </c>
      <c r="K434" t="s">
        <v>80</v>
      </c>
      <c r="L434" t="s">
        <v>38</v>
      </c>
      <c r="M434">
        <f t="shared" si="18"/>
        <v>12</v>
      </c>
      <c r="N434" t="str">
        <f t="shared" si="19"/>
        <v>Low</v>
      </c>
      <c r="O434">
        <f t="shared" si="20"/>
        <v>30</v>
      </c>
    </row>
    <row r="435" spans="1:15" x14ac:dyDescent="0.3">
      <c r="A435" t="s">
        <v>1217</v>
      </c>
      <c r="B435" t="s">
        <v>31</v>
      </c>
      <c r="C435" t="s">
        <v>1218</v>
      </c>
      <c r="D435" t="s">
        <v>378</v>
      </c>
      <c r="E435" t="s">
        <v>16</v>
      </c>
      <c r="F435">
        <v>79048</v>
      </c>
      <c r="G435" t="s">
        <v>17</v>
      </c>
      <c r="H435" t="s">
        <v>105</v>
      </c>
      <c r="I435" t="s">
        <v>19</v>
      </c>
      <c r="J435" t="s">
        <v>20</v>
      </c>
      <c r="K435" t="s">
        <v>21</v>
      </c>
      <c r="L435" t="s">
        <v>22</v>
      </c>
      <c r="M435">
        <f t="shared" si="18"/>
        <v>3</v>
      </c>
      <c r="N435" t="str">
        <f t="shared" si="19"/>
        <v>High</v>
      </c>
      <c r="O435">
        <f t="shared" si="20"/>
        <v>95</v>
      </c>
    </row>
    <row r="436" spans="1:15" x14ac:dyDescent="0.3">
      <c r="A436" t="s">
        <v>1219</v>
      </c>
      <c r="B436" t="s">
        <v>187</v>
      </c>
      <c r="C436" t="s">
        <v>1220</v>
      </c>
      <c r="D436" t="s">
        <v>61</v>
      </c>
      <c r="E436" t="s">
        <v>94</v>
      </c>
      <c r="F436">
        <v>8378</v>
      </c>
      <c r="G436" t="s">
        <v>63</v>
      </c>
      <c r="H436" t="s">
        <v>113</v>
      </c>
      <c r="I436" t="s">
        <v>19</v>
      </c>
      <c r="J436" t="s">
        <v>95</v>
      </c>
      <c r="K436" t="s">
        <v>57</v>
      </c>
      <c r="L436" t="s">
        <v>38</v>
      </c>
      <c r="M436">
        <f t="shared" si="18"/>
        <v>11</v>
      </c>
      <c r="N436" t="str">
        <f t="shared" si="19"/>
        <v>Low</v>
      </c>
      <c r="O436">
        <f t="shared" si="20"/>
        <v>10</v>
      </c>
    </row>
    <row r="437" spans="1:15" x14ac:dyDescent="0.3">
      <c r="A437" t="s">
        <v>1221</v>
      </c>
      <c r="B437" t="s">
        <v>1222</v>
      </c>
      <c r="C437" t="s">
        <v>1223</v>
      </c>
      <c r="D437" t="s">
        <v>631</v>
      </c>
      <c r="E437" t="s">
        <v>51</v>
      </c>
      <c r="F437">
        <v>5323</v>
      </c>
      <c r="G437" t="s">
        <v>44</v>
      </c>
      <c r="H437" t="s">
        <v>27</v>
      </c>
      <c r="I437" t="s">
        <v>28</v>
      </c>
      <c r="J437" t="s">
        <v>46</v>
      </c>
      <c r="K437" t="s">
        <v>57</v>
      </c>
      <c r="L437" t="s">
        <v>38</v>
      </c>
      <c r="M437">
        <f t="shared" si="18"/>
        <v>22</v>
      </c>
      <c r="N437" t="str">
        <f t="shared" si="19"/>
        <v>Low</v>
      </c>
      <c r="O437">
        <f t="shared" si="20"/>
        <v>30</v>
      </c>
    </row>
    <row r="438" spans="1:15" x14ac:dyDescent="0.3">
      <c r="A438" t="s">
        <v>1224</v>
      </c>
      <c r="B438" t="s">
        <v>443</v>
      </c>
      <c r="C438" t="s">
        <v>1225</v>
      </c>
      <c r="D438" t="s">
        <v>524</v>
      </c>
      <c r="E438" t="s">
        <v>51</v>
      </c>
      <c r="F438">
        <v>2235</v>
      </c>
      <c r="G438" t="s">
        <v>63</v>
      </c>
      <c r="H438" t="s">
        <v>52</v>
      </c>
      <c r="I438" t="s">
        <v>28</v>
      </c>
      <c r="J438" t="s">
        <v>95</v>
      </c>
      <c r="K438" t="s">
        <v>80</v>
      </c>
      <c r="L438" t="s">
        <v>38</v>
      </c>
      <c r="M438">
        <f t="shared" si="18"/>
        <v>10</v>
      </c>
      <c r="N438" t="str">
        <f t="shared" si="19"/>
        <v>Low</v>
      </c>
      <c r="O438">
        <f t="shared" si="20"/>
        <v>10</v>
      </c>
    </row>
    <row r="439" spans="1:15" x14ac:dyDescent="0.3">
      <c r="A439" t="s">
        <v>1226</v>
      </c>
      <c r="B439" t="s">
        <v>91</v>
      </c>
      <c r="C439" t="s">
        <v>1227</v>
      </c>
      <c r="D439" t="s">
        <v>211</v>
      </c>
      <c r="E439" t="s">
        <v>16</v>
      </c>
      <c r="F439">
        <v>3341</v>
      </c>
      <c r="G439" t="s">
        <v>63</v>
      </c>
      <c r="H439" t="s">
        <v>45</v>
      </c>
      <c r="I439" t="s">
        <v>19</v>
      </c>
      <c r="J439" t="s">
        <v>95</v>
      </c>
      <c r="K439" t="s">
        <v>80</v>
      </c>
      <c r="L439" t="s">
        <v>38</v>
      </c>
      <c r="M439">
        <f t="shared" si="18"/>
        <v>12</v>
      </c>
      <c r="N439" t="str">
        <f t="shared" si="19"/>
        <v>Low</v>
      </c>
      <c r="O439">
        <f t="shared" si="20"/>
        <v>40</v>
      </c>
    </row>
    <row r="440" spans="1:15" x14ac:dyDescent="0.3">
      <c r="A440" t="s">
        <v>1228</v>
      </c>
      <c r="B440" t="s">
        <v>325</v>
      </c>
      <c r="C440" t="s">
        <v>1229</v>
      </c>
      <c r="D440" t="s">
        <v>93</v>
      </c>
      <c r="E440" t="s">
        <v>94</v>
      </c>
      <c r="F440">
        <v>11425</v>
      </c>
      <c r="G440" t="s">
        <v>79</v>
      </c>
      <c r="H440" t="s">
        <v>45</v>
      </c>
      <c r="I440" t="s">
        <v>28</v>
      </c>
      <c r="J440" t="s">
        <v>20</v>
      </c>
      <c r="K440" t="s">
        <v>21</v>
      </c>
      <c r="L440" t="s">
        <v>38</v>
      </c>
      <c r="M440">
        <f t="shared" si="18"/>
        <v>16</v>
      </c>
      <c r="N440" t="str">
        <f t="shared" si="19"/>
        <v>Low</v>
      </c>
      <c r="O440">
        <f t="shared" si="20"/>
        <v>10</v>
      </c>
    </row>
    <row r="441" spans="1:15" x14ac:dyDescent="0.3">
      <c r="A441" t="s">
        <v>1230</v>
      </c>
      <c r="B441" t="s">
        <v>220</v>
      </c>
      <c r="C441" t="s">
        <v>1231</v>
      </c>
      <c r="D441" t="s">
        <v>73</v>
      </c>
      <c r="E441" t="s">
        <v>34</v>
      </c>
      <c r="F441">
        <v>11096</v>
      </c>
      <c r="G441" t="s">
        <v>17</v>
      </c>
      <c r="H441" t="s">
        <v>105</v>
      </c>
      <c r="I441" t="s">
        <v>19</v>
      </c>
      <c r="J441" t="s">
        <v>46</v>
      </c>
      <c r="K441" t="s">
        <v>96</v>
      </c>
      <c r="L441" t="s">
        <v>38</v>
      </c>
      <c r="M441">
        <f t="shared" si="18"/>
        <v>15</v>
      </c>
      <c r="N441" t="str">
        <f t="shared" si="19"/>
        <v>Low</v>
      </c>
      <c r="O441">
        <f t="shared" si="20"/>
        <v>30</v>
      </c>
    </row>
    <row r="442" spans="1:15" x14ac:dyDescent="0.3">
      <c r="A442" t="s">
        <v>1232</v>
      </c>
      <c r="B442" t="s">
        <v>547</v>
      </c>
      <c r="C442" t="s">
        <v>530</v>
      </c>
      <c r="D442" t="s">
        <v>502</v>
      </c>
      <c r="E442" t="s">
        <v>16</v>
      </c>
      <c r="F442">
        <v>27419</v>
      </c>
      <c r="G442" t="s">
        <v>44</v>
      </c>
      <c r="H442" t="s">
        <v>113</v>
      </c>
      <c r="I442" t="s">
        <v>28</v>
      </c>
      <c r="J442" t="s">
        <v>46</v>
      </c>
      <c r="K442" t="s">
        <v>80</v>
      </c>
      <c r="L442" t="s">
        <v>22</v>
      </c>
      <c r="M442">
        <f t="shared" si="18"/>
        <v>1</v>
      </c>
      <c r="N442" t="str">
        <f t="shared" si="19"/>
        <v>High</v>
      </c>
      <c r="O442">
        <f t="shared" si="20"/>
        <v>115</v>
      </c>
    </row>
    <row r="443" spans="1:15" x14ac:dyDescent="0.3">
      <c r="A443" t="s">
        <v>1233</v>
      </c>
      <c r="B443" t="s">
        <v>547</v>
      </c>
      <c r="C443" t="s">
        <v>1234</v>
      </c>
      <c r="D443" t="s">
        <v>117</v>
      </c>
      <c r="E443" t="s">
        <v>78</v>
      </c>
      <c r="F443">
        <v>11364</v>
      </c>
      <c r="G443" t="s">
        <v>79</v>
      </c>
      <c r="H443" t="s">
        <v>45</v>
      </c>
      <c r="I443" t="s">
        <v>28</v>
      </c>
      <c r="J443" t="s">
        <v>95</v>
      </c>
      <c r="K443" t="s">
        <v>96</v>
      </c>
      <c r="L443" t="s">
        <v>38</v>
      </c>
      <c r="M443">
        <f t="shared" si="18"/>
        <v>15</v>
      </c>
      <c r="N443" t="str">
        <f t="shared" si="19"/>
        <v>Low</v>
      </c>
      <c r="O443">
        <f t="shared" si="20"/>
        <v>10</v>
      </c>
    </row>
    <row r="444" spans="1:15" x14ac:dyDescent="0.3">
      <c r="A444" t="s">
        <v>1235</v>
      </c>
      <c r="B444" t="s">
        <v>230</v>
      </c>
      <c r="C444" t="s">
        <v>1236</v>
      </c>
      <c r="D444" t="s">
        <v>409</v>
      </c>
      <c r="E444" t="s">
        <v>94</v>
      </c>
      <c r="F444">
        <v>14219</v>
      </c>
      <c r="G444" t="s">
        <v>63</v>
      </c>
      <c r="H444" t="s">
        <v>36</v>
      </c>
      <c r="I444" t="s">
        <v>19</v>
      </c>
      <c r="J444" t="s">
        <v>95</v>
      </c>
      <c r="K444" t="s">
        <v>21</v>
      </c>
      <c r="L444" t="s">
        <v>38</v>
      </c>
      <c r="M444">
        <f t="shared" si="18"/>
        <v>13</v>
      </c>
      <c r="N444" t="str">
        <f t="shared" si="19"/>
        <v>Low</v>
      </c>
      <c r="O444">
        <f t="shared" si="20"/>
        <v>10</v>
      </c>
    </row>
    <row r="445" spans="1:15" x14ac:dyDescent="0.3">
      <c r="A445" t="s">
        <v>1237</v>
      </c>
      <c r="B445" t="s">
        <v>248</v>
      </c>
      <c r="C445" t="s">
        <v>1238</v>
      </c>
      <c r="D445" t="s">
        <v>50</v>
      </c>
      <c r="E445" t="s">
        <v>51</v>
      </c>
      <c r="F445">
        <v>819</v>
      </c>
      <c r="G445" t="s">
        <v>63</v>
      </c>
      <c r="H445" t="s">
        <v>45</v>
      </c>
      <c r="I445" t="s">
        <v>19</v>
      </c>
      <c r="J445" t="s">
        <v>46</v>
      </c>
      <c r="K445" t="s">
        <v>96</v>
      </c>
      <c r="L445" t="s">
        <v>38</v>
      </c>
      <c r="M445">
        <f t="shared" si="18"/>
        <v>18</v>
      </c>
      <c r="N445" t="str">
        <f t="shared" si="19"/>
        <v>Low</v>
      </c>
      <c r="O445">
        <f t="shared" si="20"/>
        <v>30</v>
      </c>
    </row>
    <row r="446" spans="1:15" x14ac:dyDescent="0.3">
      <c r="A446" t="s">
        <v>1239</v>
      </c>
      <c r="B446" t="s">
        <v>1240</v>
      </c>
      <c r="C446" t="s">
        <v>1241</v>
      </c>
      <c r="D446" t="s">
        <v>391</v>
      </c>
      <c r="E446" t="s">
        <v>34</v>
      </c>
      <c r="F446">
        <v>14285</v>
      </c>
      <c r="G446" t="s">
        <v>63</v>
      </c>
      <c r="H446" t="s">
        <v>45</v>
      </c>
      <c r="I446" t="s">
        <v>19</v>
      </c>
      <c r="J446" t="s">
        <v>20</v>
      </c>
      <c r="K446" t="s">
        <v>69</v>
      </c>
      <c r="L446" t="s">
        <v>38</v>
      </c>
      <c r="M446">
        <f t="shared" si="18"/>
        <v>20</v>
      </c>
      <c r="N446" t="str">
        <f t="shared" si="19"/>
        <v>Low</v>
      </c>
      <c r="O446">
        <f t="shared" si="20"/>
        <v>10</v>
      </c>
    </row>
    <row r="447" spans="1:15" x14ac:dyDescent="0.3">
      <c r="A447" t="s">
        <v>1242</v>
      </c>
      <c r="B447" t="s">
        <v>202</v>
      </c>
      <c r="C447" t="s">
        <v>1243</v>
      </c>
      <c r="D447" t="s">
        <v>117</v>
      </c>
      <c r="E447" t="s">
        <v>78</v>
      </c>
      <c r="F447">
        <v>2956</v>
      </c>
      <c r="G447" t="s">
        <v>17</v>
      </c>
      <c r="H447" t="s">
        <v>18</v>
      </c>
      <c r="I447" t="s">
        <v>28</v>
      </c>
      <c r="J447" t="s">
        <v>20</v>
      </c>
      <c r="K447" t="s">
        <v>96</v>
      </c>
      <c r="L447" t="s">
        <v>38</v>
      </c>
      <c r="M447">
        <f t="shared" si="18"/>
        <v>8</v>
      </c>
      <c r="N447" t="str">
        <f t="shared" si="19"/>
        <v>Low</v>
      </c>
      <c r="O447">
        <f t="shared" si="20"/>
        <v>10</v>
      </c>
    </row>
    <row r="448" spans="1:15" x14ac:dyDescent="0.3">
      <c r="A448" t="s">
        <v>1244</v>
      </c>
      <c r="B448" t="s">
        <v>139</v>
      </c>
      <c r="C448" t="s">
        <v>381</v>
      </c>
      <c r="D448" t="s">
        <v>537</v>
      </c>
      <c r="E448" t="s">
        <v>16</v>
      </c>
      <c r="F448">
        <v>2181</v>
      </c>
      <c r="G448" t="s">
        <v>35</v>
      </c>
      <c r="H448" t="s">
        <v>45</v>
      </c>
      <c r="I448" t="s">
        <v>28</v>
      </c>
      <c r="J448" t="s">
        <v>46</v>
      </c>
      <c r="K448" t="s">
        <v>80</v>
      </c>
      <c r="L448" t="s">
        <v>38</v>
      </c>
      <c r="M448">
        <f t="shared" si="18"/>
        <v>11</v>
      </c>
      <c r="N448" t="str">
        <f t="shared" si="19"/>
        <v>Low</v>
      </c>
      <c r="O448">
        <f t="shared" si="20"/>
        <v>60</v>
      </c>
    </row>
    <row r="449" spans="1:15" x14ac:dyDescent="0.3">
      <c r="A449" t="s">
        <v>1245</v>
      </c>
      <c r="B449" t="s">
        <v>535</v>
      </c>
      <c r="C449" t="s">
        <v>1246</v>
      </c>
      <c r="D449" t="s">
        <v>77</v>
      </c>
      <c r="E449" t="s">
        <v>34</v>
      </c>
      <c r="F449">
        <v>5335</v>
      </c>
      <c r="G449" t="s">
        <v>79</v>
      </c>
      <c r="H449" t="s">
        <v>52</v>
      </c>
      <c r="I449" t="s">
        <v>28</v>
      </c>
      <c r="J449" t="s">
        <v>95</v>
      </c>
      <c r="K449" t="s">
        <v>69</v>
      </c>
      <c r="L449" t="s">
        <v>38</v>
      </c>
      <c r="M449">
        <f t="shared" si="18"/>
        <v>7</v>
      </c>
      <c r="N449" t="str">
        <f t="shared" si="19"/>
        <v>Low</v>
      </c>
      <c r="O449">
        <f t="shared" si="20"/>
        <v>10</v>
      </c>
    </row>
    <row r="450" spans="1:15" x14ac:dyDescent="0.3">
      <c r="A450" t="s">
        <v>1247</v>
      </c>
      <c r="B450" t="s">
        <v>1030</v>
      </c>
      <c r="C450" t="s">
        <v>1248</v>
      </c>
      <c r="D450" t="s">
        <v>862</v>
      </c>
      <c r="E450" t="s">
        <v>16</v>
      </c>
      <c r="F450">
        <v>12895</v>
      </c>
      <c r="G450" t="s">
        <v>79</v>
      </c>
      <c r="H450" t="s">
        <v>18</v>
      </c>
      <c r="I450" t="s">
        <v>19</v>
      </c>
      <c r="J450" t="s">
        <v>20</v>
      </c>
      <c r="K450" t="s">
        <v>57</v>
      </c>
      <c r="L450" t="s">
        <v>38</v>
      </c>
      <c r="M450">
        <f t="shared" ref="M450:M501" si="21">HOUR(C450)</f>
        <v>16</v>
      </c>
      <c r="N450" t="str">
        <f t="shared" ref="N450:N501" si="22">IF(L450="Yes","High","Low")</f>
        <v>Low</v>
      </c>
      <c r="O450">
        <f t="shared" ref="O450:O501" si="23">IF(F450&gt;20000,50,10)+IF(J450="Failed",20,0)+IF(E450="Unknown",30,0)+IF(M450&lt;5,15,0)</f>
        <v>40</v>
      </c>
    </row>
    <row r="451" spans="1:15" x14ac:dyDescent="0.3">
      <c r="A451" t="s">
        <v>1249</v>
      </c>
      <c r="B451" t="s">
        <v>739</v>
      </c>
      <c r="C451" t="s">
        <v>1250</v>
      </c>
      <c r="D451" t="s">
        <v>454</v>
      </c>
      <c r="E451" t="s">
        <v>78</v>
      </c>
      <c r="F451">
        <v>5774</v>
      </c>
      <c r="G451" t="s">
        <v>35</v>
      </c>
      <c r="H451" t="s">
        <v>45</v>
      </c>
      <c r="I451" t="s">
        <v>28</v>
      </c>
      <c r="J451" t="s">
        <v>95</v>
      </c>
      <c r="K451" t="s">
        <v>37</v>
      </c>
      <c r="L451" t="s">
        <v>38</v>
      </c>
      <c r="M451">
        <f t="shared" si="21"/>
        <v>13</v>
      </c>
      <c r="N451" t="str">
        <f t="shared" si="22"/>
        <v>Low</v>
      </c>
      <c r="O451">
        <f t="shared" si="23"/>
        <v>10</v>
      </c>
    </row>
    <row r="452" spans="1:15" x14ac:dyDescent="0.3">
      <c r="A452" t="s">
        <v>1251</v>
      </c>
      <c r="B452" t="s">
        <v>875</v>
      </c>
      <c r="C452" t="s">
        <v>1252</v>
      </c>
      <c r="D452" t="s">
        <v>584</v>
      </c>
      <c r="E452" t="s">
        <v>43</v>
      </c>
      <c r="F452">
        <v>9246</v>
      </c>
      <c r="G452" t="s">
        <v>79</v>
      </c>
      <c r="H452" t="s">
        <v>85</v>
      </c>
      <c r="I452" t="s">
        <v>19</v>
      </c>
      <c r="J452" t="s">
        <v>95</v>
      </c>
      <c r="K452" t="s">
        <v>80</v>
      </c>
      <c r="L452" t="s">
        <v>38</v>
      </c>
      <c r="M452">
        <f t="shared" si="21"/>
        <v>6</v>
      </c>
      <c r="N452" t="str">
        <f t="shared" si="22"/>
        <v>Low</v>
      </c>
      <c r="O452">
        <f t="shared" si="23"/>
        <v>10</v>
      </c>
    </row>
    <row r="453" spans="1:15" x14ac:dyDescent="0.3">
      <c r="A453" t="s">
        <v>1253</v>
      </c>
      <c r="B453" t="s">
        <v>490</v>
      </c>
      <c r="C453" t="s">
        <v>394</v>
      </c>
      <c r="D453" t="s">
        <v>991</v>
      </c>
      <c r="E453" t="s">
        <v>51</v>
      </c>
      <c r="F453">
        <v>703</v>
      </c>
      <c r="G453" t="s">
        <v>79</v>
      </c>
      <c r="H453" t="s">
        <v>52</v>
      </c>
      <c r="I453" t="s">
        <v>28</v>
      </c>
      <c r="J453" t="s">
        <v>20</v>
      </c>
      <c r="K453" t="s">
        <v>96</v>
      </c>
      <c r="L453" t="s">
        <v>38</v>
      </c>
      <c r="M453">
        <f t="shared" si="21"/>
        <v>16</v>
      </c>
      <c r="N453" t="str">
        <f t="shared" si="22"/>
        <v>Low</v>
      </c>
      <c r="O453">
        <f t="shared" si="23"/>
        <v>10</v>
      </c>
    </row>
    <row r="454" spans="1:15" x14ac:dyDescent="0.3">
      <c r="A454" t="s">
        <v>1254</v>
      </c>
      <c r="B454" t="s">
        <v>1255</v>
      </c>
      <c r="C454" t="s">
        <v>1256</v>
      </c>
      <c r="D454" t="s">
        <v>578</v>
      </c>
      <c r="E454" t="s">
        <v>51</v>
      </c>
      <c r="F454">
        <v>8385</v>
      </c>
      <c r="G454" t="s">
        <v>68</v>
      </c>
      <c r="H454" t="s">
        <v>27</v>
      </c>
      <c r="I454" t="s">
        <v>28</v>
      </c>
      <c r="J454" t="s">
        <v>20</v>
      </c>
      <c r="K454" t="s">
        <v>21</v>
      </c>
      <c r="L454" t="s">
        <v>38</v>
      </c>
      <c r="M454">
        <f t="shared" si="21"/>
        <v>20</v>
      </c>
      <c r="N454" t="str">
        <f t="shared" si="22"/>
        <v>Low</v>
      </c>
      <c r="O454">
        <f t="shared" si="23"/>
        <v>10</v>
      </c>
    </row>
    <row r="455" spans="1:15" x14ac:dyDescent="0.3">
      <c r="A455" t="s">
        <v>1257</v>
      </c>
      <c r="B455" t="s">
        <v>1190</v>
      </c>
      <c r="C455" t="s">
        <v>1258</v>
      </c>
      <c r="D455" t="s">
        <v>288</v>
      </c>
      <c r="E455" t="s">
        <v>94</v>
      </c>
      <c r="F455">
        <v>12720</v>
      </c>
      <c r="G455" t="s">
        <v>68</v>
      </c>
      <c r="H455" t="s">
        <v>27</v>
      </c>
      <c r="I455" t="s">
        <v>28</v>
      </c>
      <c r="J455" t="s">
        <v>20</v>
      </c>
      <c r="K455" t="s">
        <v>69</v>
      </c>
      <c r="L455" t="s">
        <v>38</v>
      </c>
      <c r="M455">
        <f t="shared" si="21"/>
        <v>6</v>
      </c>
      <c r="N455" t="str">
        <f t="shared" si="22"/>
        <v>Low</v>
      </c>
      <c r="O455">
        <f t="shared" si="23"/>
        <v>10</v>
      </c>
    </row>
    <row r="456" spans="1:15" x14ac:dyDescent="0.3">
      <c r="A456" t="s">
        <v>1259</v>
      </c>
      <c r="B456" t="s">
        <v>933</v>
      </c>
      <c r="C456" t="s">
        <v>260</v>
      </c>
      <c r="D456" t="s">
        <v>385</v>
      </c>
      <c r="E456" t="s">
        <v>94</v>
      </c>
      <c r="F456">
        <v>11563</v>
      </c>
      <c r="G456" t="s">
        <v>63</v>
      </c>
      <c r="H456" t="s">
        <v>113</v>
      </c>
      <c r="I456" t="s">
        <v>19</v>
      </c>
      <c r="J456" t="s">
        <v>20</v>
      </c>
      <c r="K456" t="s">
        <v>57</v>
      </c>
      <c r="L456" t="s">
        <v>38</v>
      </c>
      <c r="M456">
        <f t="shared" si="21"/>
        <v>19</v>
      </c>
      <c r="N456" t="str">
        <f t="shared" si="22"/>
        <v>Low</v>
      </c>
      <c r="O456">
        <f t="shared" si="23"/>
        <v>10</v>
      </c>
    </row>
    <row r="457" spans="1:15" x14ac:dyDescent="0.3">
      <c r="A457" t="s">
        <v>1260</v>
      </c>
      <c r="B457" t="s">
        <v>817</v>
      </c>
      <c r="C457" t="s">
        <v>1109</v>
      </c>
      <c r="D457" t="s">
        <v>104</v>
      </c>
      <c r="E457" t="s">
        <v>16</v>
      </c>
      <c r="F457">
        <v>29600</v>
      </c>
      <c r="G457" t="s">
        <v>35</v>
      </c>
      <c r="H457" t="s">
        <v>52</v>
      </c>
      <c r="I457" t="s">
        <v>19</v>
      </c>
      <c r="J457" t="s">
        <v>20</v>
      </c>
      <c r="K457" t="s">
        <v>21</v>
      </c>
      <c r="L457" t="s">
        <v>22</v>
      </c>
      <c r="M457">
        <f t="shared" si="21"/>
        <v>0</v>
      </c>
      <c r="N457" t="str">
        <f t="shared" si="22"/>
        <v>High</v>
      </c>
      <c r="O457">
        <f t="shared" si="23"/>
        <v>95</v>
      </c>
    </row>
    <row r="458" spans="1:15" x14ac:dyDescent="0.3">
      <c r="A458" t="s">
        <v>1261</v>
      </c>
      <c r="B458" t="s">
        <v>206</v>
      </c>
      <c r="C458" t="s">
        <v>1262</v>
      </c>
      <c r="D458" t="s">
        <v>1263</v>
      </c>
      <c r="E458" t="s">
        <v>51</v>
      </c>
      <c r="F458">
        <v>7441</v>
      </c>
      <c r="G458" t="s">
        <v>68</v>
      </c>
      <c r="H458" t="s">
        <v>36</v>
      </c>
      <c r="I458" t="s">
        <v>19</v>
      </c>
      <c r="J458" t="s">
        <v>46</v>
      </c>
      <c r="K458" t="s">
        <v>21</v>
      </c>
      <c r="L458" t="s">
        <v>38</v>
      </c>
      <c r="M458">
        <f t="shared" si="21"/>
        <v>18</v>
      </c>
      <c r="N458" t="str">
        <f t="shared" si="22"/>
        <v>Low</v>
      </c>
      <c r="O458">
        <f t="shared" si="23"/>
        <v>30</v>
      </c>
    </row>
    <row r="459" spans="1:15" x14ac:dyDescent="0.3">
      <c r="A459" t="s">
        <v>1264</v>
      </c>
      <c r="B459" t="s">
        <v>820</v>
      </c>
      <c r="C459" t="s">
        <v>929</v>
      </c>
      <c r="D459" t="s">
        <v>166</v>
      </c>
      <c r="E459" t="s">
        <v>94</v>
      </c>
      <c r="F459">
        <v>1086</v>
      </c>
      <c r="G459" t="s">
        <v>63</v>
      </c>
      <c r="H459" t="s">
        <v>18</v>
      </c>
      <c r="I459" t="s">
        <v>28</v>
      </c>
      <c r="J459" t="s">
        <v>20</v>
      </c>
      <c r="K459" t="s">
        <v>69</v>
      </c>
      <c r="L459" t="s">
        <v>38</v>
      </c>
      <c r="M459">
        <f t="shared" si="21"/>
        <v>7</v>
      </c>
      <c r="N459" t="str">
        <f t="shared" si="22"/>
        <v>Low</v>
      </c>
      <c r="O459">
        <f t="shared" si="23"/>
        <v>10</v>
      </c>
    </row>
    <row r="460" spans="1:15" x14ac:dyDescent="0.3">
      <c r="A460" t="s">
        <v>1265</v>
      </c>
      <c r="B460" t="s">
        <v>337</v>
      </c>
      <c r="C460" t="s">
        <v>199</v>
      </c>
      <c r="D460" t="s">
        <v>258</v>
      </c>
      <c r="E460" t="s">
        <v>51</v>
      </c>
      <c r="F460">
        <v>4662</v>
      </c>
      <c r="G460" t="s">
        <v>79</v>
      </c>
      <c r="H460" t="s">
        <v>105</v>
      </c>
      <c r="I460" t="s">
        <v>28</v>
      </c>
      <c r="J460" t="s">
        <v>46</v>
      </c>
      <c r="K460" t="s">
        <v>29</v>
      </c>
      <c r="L460" t="s">
        <v>38</v>
      </c>
      <c r="M460">
        <f t="shared" si="21"/>
        <v>20</v>
      </c>
      <c r="N460" t="str">
        <f t="shared" si="22"/>
        <v>Low</v>
      </c>
      <c r="O460">
        <f t="shared" si="23"/>
        <v>30</v>
      </c>
    </row>
    <row r="461" spans="1:15" x14ac:dyDescent="0.3">
      <c r="A461" t="s">
        <v>1266</v>
      </c>
      <c r="B461" t="s">
        <v>768</v>
      </c>
      <c r="C461" t="s">
        <v>1267</v>
      </c>
      <c r="D461" t="s">
        <v>166</v>
      </c>
      <c r="E461" t="s">
        <v>16</v>
      </c>
      <c r="F461">
        <v>71248</v>
      </c>
      <c r="G461" t="s">
        <v>63</v>
      </c>
      <c r="H461" t="s">
        <v>113</v>
      </c>
      <c r="I461" t="s">
        <v>28</v>
      </c>
      <c r="J461" t="s">
        <v>46</v>
      </c>
      <c r="K461" t="s">
        <v>80</v>
      </c>
      <c r="L461" t="s">
        <v>22</v>
      </c>
      <c r="M461">
        <f t="shared" si="21"/>
        <v>23</v>
      </c>
      <c r="N461" t="str">
        <f t="shared" si="22"/>
        <v>High</v>
      </c>
      <c r="O461">
        <f t="shared" si="23"/>
        <v>100</v>
      </c>
    </row>
    <row r="462" spans="1:15" x14ac:dyDescent="0.3">
      <c r="A462" t="s">
        <v>1268</v>
      </c>
      <c r="B462" t="s">
        <v>626</v>
      </c>
      <c r="C462" t="s">
        <v>1088</v>
      </c>
      <c r="D462" t="s">
        <v>26</v>
      </c>
      <c r="E462" t="s">
        <v>43</v>
      </c>
      <c r="F462">
        <v>232</v>
      </c>
      <c r="G462" t="s">
        <v>35</v>
      </c>
      <c r="H462" t="s">
        <v>36</v>
      </c>
      <c r="I462" t="s">
        <v>19</v>
      </c>
      <c r="J462" t="s">
        <v>20</v>
      </c>
      <c r="K462" t="s">
        <v>37</v>
      </c>
      <c r="L462" t="s">
        <v>38</v>
      </c>
      <c r="M462">
        <f t="shared" si="21"/>
        <v>10</v>
      </c>
      <c r="N462" t="str">
        <f t="shared" si="22"/>
        <v>Low</v>
      </c>
      <c r="O462">
        <f t="shared" si="23"/>
        <v>10</v>
      </c>
    </row>
    <row r="463" spans="1:15" x14ac:dyDescent="0.3">
      <c r="A463" t="s">
        <v>1269</v>
      </c>
      <c r="B463" t="s">
        <v>316</v>
      </c>
      <c r="C463" t="s">
        <v>1270</v>
      </c>
      <c r="D463" t="s">
        <v>292</v>
      </c>
      <c r="E463" t="s">
        <v>78</v>
      </c>
      <c r="F463">
        <v>14887</v>
      </c>
      <c r="G463" t="s">
        <v>68</v>
      </c>
      <c r="H463" t="s">
        <v>27</v>
      </c>
      <c r="I463" t="s">
        <v>28</v>
      </c>
      <c r="J463" t="s">
        <v>20</v>
      </c>
      <c r="K463" t="s">
        <v>29</v>
      </c>
      <c r="L463" t="s">
        <v>38</v>
      </c>
      <c r="M463">
        <f t="shared" si="21"/>
        <v>22</v>
      </c>
      <c r="N463" t="str">
        <f t="shared" si="22"/>
        <v>Low</v>
      </c>
      <c r="O463">
        <f t="shared" si="23"/>
        <v>10</v>
      </c>
    </row>
    <row r="464" spans="1:15" x14ac:dyDescent="0.3">
      <c r="A464" t="s">
        <v>1271</v>
      </c>
      <c r="B464" t="s">
        <v>580</v>
      </c>
      <c r="C464" t="s">
        <v>1169</v>
      </c>
      <c r="D464" t="s">
        <v>667</v>
      </c>
      <c r="E464" t="s">
        <v>34</v>
      </c>
      <c r="F464">
        <v>9344</v>
      </c>
      <c r="G464" t="s">
        <v>68</v>
      </c>
      <c r="H464" t="s">
        <v>18</v>
      </c>
      <c r="I464" t="s">
        <v>28</v>
      </c>
      <c r="J464" t="s">
        <v>95</v>
      </c>
      <c r="K464" t="s">
        <v>80</v>
      </c>
      <c r="L464" t="s">
        <v>38</v>
      </c>
      <c r="M464">
        <f t="shared" si="21"/>
        <v>7</v>
      </c>
      <c r="N464" t="str">
        <f t="shared" si="22"/>
        <v>Low</v>
      </c>
      <c r="O464">
        <f t="shared" si="23"/>
        <v>10</v>
      </c>
    </row>
    <row r="465" spans="1:15" x14ac:dyDescent="0.3">
      <c r="A465" t="s">
        <v>1272</v>
      </c>
      <c r="B465" t="s">
        <v>1240</v>
      </c>
      <c r="C465" t="s">
        <v>1273</v>
      </c>
      <c r="D465" t="s">
        <v>729</v>
      </c>
      <c r="E465" t="s">
        <v>16</v>
      </c>
      <c r="F465">
        <v>83857</v>
      </c>
      <c r="G465" t="s">
        <v>79</v>
      </c>
      <c r="H465" t="s">
        <v>27</v>
      </c>
      <c r="I465" t="s">
        <v>19</v>
      </c>
      <c r="J465" t="s">
        <v>46</v>
      </c>
      <c r="K465" t="s">
        <v>37</v>
      </c>
      <c r="L465" t="s">
        <v>22</v>
      </c>
      <c r="M465">
        <f t="shared" si="21"/>
        <v>2</v>
      </c>
      <c r="N465" t="str">
        <f t="shared" si="22"/>
        <v>High</v>
      </c>
      <c r="O465">
        <f t="shared" si="23"/>
        <v>115</v>
      </c>
    </row>
    <row r="466" spans="1:15" x14ac:dyDescent="0.3">
      <c r="A466" t="s">
        <v>1274</v>
      </c>
      <c r="B466" t="s">
        <v>110</v>
      </c>
      <c r="C466" t="s">
        <v>1275</v>
      </c>
      <c r="D466" t="s">
        <v>368</v>
      </c>
      <c r="E466" t="s">
        <v>51</v>
      </c>
      <c r="F466">
        <v>5256</v>
      </c>
      <c r="G466" t="s">
        <v>79</v>
      </c>
      <c r="H466" t="s">
        <v>52</v>
      </c>
      <c r="I466" t="s">
        <v>19</v>
      </c>
      <c r="J466" t="s">
        <v>46</v>
      </c>
      <c r="K466" t="s">
        <v>21</v>
      </c>
      <c r="L466" t="s">
        <v>38</v>
      </c>
      <c r="M466">
        <f t="shared" si="21"/>
        <v>21</v>
      </c>
      <c r="N466" t="str">
        <f t="shared" si="22"/>
        <v>Low</v>
      </c>
      <c r="O466">
        <f t="shared" si="23"/>
        <v>30</v>
      </c>
    </row>
    <row r="467" spans="1:15" x14ac:dyDescent="0.3">
      <c r="A467" t="s">
        <v>1276</v>
      </c>
      <c r="B467" t="s">
        <v>446</v>
      </c>
      <c r="C467" t="s">
        <v>1277</v>
      </c>
      <c r="D467" t="s">
        <v>339</v>
      </c>
      <c r="E467" t="s">
        <v>43</v>
      </c>
      <c r="F467">
        <v>7067</v>
      </c>
      <c r="G467" t="s">
        <v>44</v>
      </c>
      <c r="H467" t="s">
        <v>27</v>
      </c>
      <c r="I467" t="s">
        <v>28</v>
      </c>
      <c r="J467" t="s">
        <v>46</v>
      </c>
      <c r="K467" t="s">
        <v>37</v>
      </c>
      <c r="L467" t="s">
        <v>38</v>
      </c>
      <c r="M467">
        <f t="shared" si="21"/>
        <v>11</v>
      </c>
      <c r="N467" t="str">
        <f t="shared" si="22"/>
        <v>Low</v>
      </c>
      <c r="O467">
        <f t="shared" si="23"/>
        <v>30</v>
      </c>
    </row>
    <row r="468" spans="1:15" x14ac:dyDescent="0.3">
      <c r="A468" t="s">
        <v>1278</v>
      </c>
      <c r="B468" t="s">
        <v>270</v>
      </c>
      <c r="C468" t="s">
        <v>1279</v>
      </c>
      <c r="D468" t="s">
        <v>502</v>
      </c>
      <c r="E468" t="s">
        <v>51</v>
      </c>
      <c r="F468">
        <v>5482</v>
      </c>
      <c r="G468" t="s">
        <v>68</v>
      </c>
      <c r="H468" t="s">
        <v>52</v>
      </c>
      <c r="I468" t="s">
        <v>28</v>
      </c>
      <c r="J468" t="s">
        <v>46</v>
      </c>
      <c r="K468" t="s">
        <v>21</v>
      </c>
      <c r="L468" t="s">
        <v>38</v>
      </c>
      <c r="M468">
        <f t="shared" si="21"/>
        <v>21</v>
      </c>
      <c r="N468" t="str">
        <f t="shared" si="22"/>
        <v>Low</v>
      </c>
      <c r="O468">
        <f t="shared" si="23"/>
        <v>30</v>
      </c>
    </row>
    <row r="469" spans="1:15" x14ac:dyDescent="0.3">
      <c r="A469" t="s">
        <v>1280</v>
      </c>
      <c r="B469" t="s">
        <v>363</v>
      </c>
      <c r="C469" t="s">
        <v>1281</v>
      </c>
      <c r="D469" t="s">
        <v>235</v>
      </c>
      <c r="E469" t="s">
        <v>34</v>
      </c>
      <c r="F469">
        <v>1393</v>
      </c>
      <c r="G469" t="s">
        <v>63</v>
      </c>
      <c r="H469" t="s">
        <v>27</v>
      </c>
      <c r="I469" t="s">
        <v>28</v>
      </c>
      <c r="J469" t="s">
        <v>20</v>
      </c>
      <c r="K469" t="s">
        <v>80</v>
      </c>
      <c r="L469" t="s">
        <v>38</v>
      </c>
      <c r="M469">
        <f t="shared" si="21"/>
        <v>14</v>
      </c>
      <c r="N469" t="str">
        <f t="shared" si="22"/>
        <v>Low</v>
      </c>
      <c r="O469">
        <f t="shared" si="23"/>
        <v>10</v>
      </c>
    </row>
    <row r="470" spans="1:15" x14ac:dyDescent="0.3">
      <c r="A470" t="s">
        <v>1282</v>
      </c>
      <c r="B470" t="s">
        <v>960</v>
      </c>
      <c r="C470" t="s">
        <v>1283</v>
      </c>
      <c r="D470" t="s">
        <v>1092</v>
      </c>
      <c r="E470" t="s">
        <v>34</v>
      </c>
      <c r="F470">
        <v>14666</v>
      </c>
      <c r="G470" t="s">
        <v>79</v>
      </c>
      <c r="H470" t="s">
        <v>105</v>
      </c>
      <c r="I470" t="s">
        <v>28</v>
      </c>
      <c r="J470" t="s">
        <v>95</v>
      </c>
      <c r="K470" t="s">
        <v>69</v>
      </c>
      <c r="L470" t="s">
        <v>38</v>
      </c>
      <c r="M470">
        <f t="shared" si="21"/>
        <v>6</v>
      </c>
      <c r="N470" t="str">
        <f t="shared" si="22"/>
        <v>Low</v>
      </c>
      <c r="O470">
        <f t="shared" si="23"/>
        <v>10</v>
      </c>
    </row>
    <row r="471" spans="1:15" x14ac:dyDescent="0.3">
      <c r="A471" t="s">
        <v>1284</v>
      </c>
      <c r="B471" t="s">
        <v>127</v>
      </c>
      <c r="C471" t="s">
        <v>1285</v>
      </c>
      <c r="D471" t="s">
        <v>125</v>
      </c>
      <c r="E471" t="s">
        <v>16</v>
      </c>
      <c r="F471">
        <v>9087</v>
      </c>
      <c r="G471" t="s">
        <v>35</v>
      </c>
      <c r="H471" t="s">
        <v>113</v>
      </c>
      <c r="I471" t="s">
        <v>28</v>
      </c>
      <c r="J471" t="s">
        <v>95</v>
      </c>
      <c r="K471" t="s">
        <v>57</v>
      </c>
      <c r="L471" t="s">
        <v>38</v>
      </c>
      <c r="M471">
        <f t="shared" si="21"/>
        <v>14</v>
      </c>
      <c r="N471" t="str">
        <f t="shared" si="22"/>
        <v>Low</v>
      </c>
      <c r="O471">
        <f t="shared" si="23"/>
        <v>40</v>
      </c>
    </row>
    <row r="472" spans="1:15" x14ac:dyDescent="0.3">
      <c r="A472" t="s">
        <v>1286</v>
      </c>
      <c r="B472" t="s">
        <v>31</v>
      </c>
      <c r="C472" t="s">
        <v>826</v>
      </c>
      <c r="D472" t="s">
        <v>288</v>
      </c>
      <c r="E472" t="s">
        <v>51</v>
      </c>
      <c r="F472">
        <v>4817</v>
      </c>
      <c r="G472" t="s">
        <v>79</v>
      </c>
      <c r="H472" t="s">
        <v>18</v>
      </c>
      <c r="I472" t="s">
        <v>28</v>
      </c>
      <c r="J472" t="s">
        <v>95</v>
      </c>
      <c r="K472" t="s">
        <v>37</v>
      </c>
      <c r="L472" t="s">
        <v>38</v>
      </c>
      <c r="M472">
        <f t="shared" si="21"/>
        <v>10</v>
      </c>
      <c r="N472" t="str">
        <f t="shared" si="22"/>
        <v>Low</v>
      </c>
      <c r="O472">
        <f t="shared" si="23"/>
        <v>10</v>
      </c>
    </row>
    <row r="473" spans="1:15" x14ac:dyDescent="0.3">
      <c r="A473" t="s">
        <v>1287</v>
      </c>
      <c r="B473" t="s">
        <v>164</v>
      </c>
      <c r="C473" t="s">
        <v>479</v>
      </c>
      <c r="D473" t="s">
        <v>1089</v>
      </c>
      <c r="E473" t="s">
        <v>34</v>
      </c>
      <c r="F473">
        <v>13943</v>
      </c>
      <c r="G473" t="s">
        <v>79</v>
      </c>
      <c r="H473" t="s">
        <v>85</v>
      </c>
      <c r="I473" t="s">
        <v>19</v>
      </c>
      <c r="J473" t="s">
        <v>95</v>
      </c>
      <c r="K473" t="s">
        <v>29</v>
      </c>
      <c r="L473" t="s">
        <v>38</v>
      </c>
      <c r="M473">
        <f t="shared" si="21"/>
        <v>11</v>
      </c>
      <c r="N473" t="str">
        <f t="shared" si="22"/>
        <v>Low</v>
      </c>
      <c r="O473">
        <f t="shared" si="23"/>
        <v>10</v>
      </c>
    </row>
    <row r="474" spans="1:15" x14ac:dyDescent="0.3">
      <c r="A474" t="s">
        <v>1288</v>
      </c>
      <c r="B474" t="s">
        <v>922</v>
      </c>
      <c r="C474" t="s">
        <v>1289</v>
      </c>
      <c r="D474" t="s">
        <v>323</v>
      </c>
      <c r="E474" t="s">
        <v>62</v>
      </c>
      <c r="F474">
        <v>2445</v>
      </c>
      <c r="G474" t="s">
        <v>44</v>
      </c>
      <c r="H474" t="s">
        <v>85</v>
      </c>
      <c r="I474" t="s">
        <v>19</v>
      </c>
      <c r="J474" t="s">
        <v>20</v>
      </c>
      <c r="K474" t="s">
        <v>96</v>
      </c>
      <c r="L474" t="s">
        <v>38</v>
      </c>
      <c r="M474">
        <f t="shared" si="21"/>
        <v>21</v>
      </c>
      <c r="N474" t="str">
        <f t="shared" si="22"/>
        <v>Low</v>
      </c>
      <c r="O474">
        <f t="shared" si="23"/>
        <v>10</v>
      </c>
    </row>
    <row r="475" spans="1:15" x14ac:dyDescent="0.3">
      <c r="A475" t="s">
        <v>1290</v>
      </c>
      <c r="B475" t="s">
        <v>714</v>
      </c>
      <c r="C475" t="s">
        <v>234</v>
      </c>
      <c r="D475" t="s">
        <v>67</v>
      </c>
      <c r="E475" t="s">
        <v>16</v>
      </c>
      <c r="F475">
        <v>11004</v>
      </c>
      <c r="G475" t="s">
        <v>68</v>
      </c>
      <c r="H475" t="s">
        <v>85</v>
      </c>
      <c r="I475" t="s">
        <v>28</v>
      </c>
      <c r="J475" t="s">
        <v>46</v>
      </c>
      <c r="K475" t="s">
        <v>96</v>
      </c>
      <c r="L475" t="s">
        <v>38</v>
      </c>
      <c r="M475">
        <f t="shared" si="21"/>
        <v>12</v>
      </c>
      <c r="N475" t="str">
        <f t="shared" si="22"/>
        <v>Low</v>
      </c>
      <c r="O475">
        <f t="shared" si="23"/>
        <v>60</v>
      </c>
    </row>
    <row r="476" spans="1:15" x14ac:dyDescent="0.3">
      <c r="A476" t="s">
        <v>1291</v>
      </c>
      <c r="B476" t="s">
        <v>278</v>
      </c>
      <c r="C476" t="s">
        <v>440</v>
      </c>
      <c r="D476" t="s">
        <v>667</v>
      </c>
      <c r="E476" t="s">
        <v>94</v>
      </c>
      <c r="F476">
        <v>11580</v>
      </c>
      <c r="G476" t="s">
        <v>63</v>
      </c>
      <c r="H476" t="s">
        <v>52</v>
      </c>
      <c r="I476" t="s">
        <v>19</v>
      </c>
      <c r="J476" t="s">
        <v>46</v>
      </c>
      <c r="K476" t="s">
        <v>57</v>
      </c>
      <c r="L476" t="s">
        <v>38</v>
      </c>
      <c r="M476">
        <f t="shared" si="21"/>
        <v>22</v>
      </c>
      <c r="N476" t="str">
        <f t="shared" si="22"/>
        <v>Low</v>
      </c>
      <c r="O476">
        <f t="shared" si="23"/>
        <v>30</v>
      </c>
    </row>
    <row r="477" spans="1:15" x14ac:dyDescent="0.3">
      <c r="A477" t="s">
        <v>1292</v>
      </c>
      <c r="B477" t="s">
        <v>786</v>
      </c>
      <c r="C477" t="s">
        <v>570</v>
      </c>
      <c r="D477" t="s">
        <v>232</v>
      </c>
      <c r="E477" t="s">
        <v>16</v>
      </c>
      <c r="F477">
        <v>10754</v>
      </c>
      <c r="G477" t="s">
        <v>44</v>
      </c>
      <c r="H477" t="s">
        <v>27</v>
      </c>
      <c r="I477" t="s">
        <v>28</v>
      </c>
      <c r="J477" t="s">
        <v>46</v>
      </c>
      <c r="K477" t="s">
        <v>37</v>
      </c>
      <c r="L477" t="s">
        <v>38</v>
      </c>
      <c r="M477">
        <f t="shared" si="21"/>
        <v>8</v>
      </c>
      <c r="N477" t="str">
        <f t="shared" si="22"/>
        <v>Low</v>
      </c>
      <c r="O477">
        <f t="shared" si="23"/>
        <v>60</v>
      </c>
    </row>
    <row r="478" spans="1:15" x14ac:dyDescent="0.3">
      <c r="A478" t="s">
        <v>1293</v>
      </c>
      <c r="B478" t="s">
        <v>411</v>
      </c>
      <c r="C478" t="s">
        <v>1076</v>
      </c>
      <c r="D478" t="s">
        <v>890</v>
      </c>
      <c r="E478" t="s">
        <v>16</v>
      </c>
      <c r="F478">
        <v>14585</v>
      </c>
      <c r="G478" t="s">
        <v>79</v>
      </c>
      <c r="H478" t="s">
        <v>113</v>
      </c>
      <c r="I478" t="s">
        <v>19</v>
      </c>
      <c r="J478" t="s">
        <v>20</v>
      </c>
      <c r="K478" t="s">
        <v>96</v>
      </c>
      <c r="L478" t="s">
        <v>38</v>
      </c>
      <c r="M478">
        <f t="shared" si="21"/>
        <v>6</v>
      </c>
      <c r="N478" t="str">
        <f t="shared" si="22"/>
        <v>Low</v>
      </c>
      <c r="O478">
        <f t="shared" si="23"/>
        <v>40</v>
      </c>
    </row>
    <row r="479" spans="1:15" x14ac:dyDescent="0.3">
      <c r="A479" t="s">
        <v>1294</v>
      </c>
      <c r="B479" t="s">
        <v>820</v>
      </c>
      <c r="C479" t="s">
        <v>1295</v>
      </c>
      <c r="D479" t="s">
        <v>690</v>
      </c>
      <c r="E479" t="s">
        <v>78</v>
      </c>
      <c r="F479">
        <v>2511</v>
      </c>
      <c r="G479" t="s">
        <v>44</v>
      </c>
      <c r="H479" t="s">
        <v>18</v>
      </c>
      <c r="I479" t="s">
        <v>19</v>
      </c>
      <c r="J479" t="s">
        <v>46</v>
      </c>
      <c r="K479" t="s">
        <v>57</v>
      </c>
      <c r="L479" t="s">
        <v>38</v>
      </c>
      <c r="M479">
        <f t="shared" si="21"/>
        <v>11</v>
      </c>
      <c r="N479" t="str">
        <f t="shared" si="22"/>
        <v>Low</v>
      </c>
      <c r="O479">
        <f t="shared" si="23"/>
        <v>30</v>
      </c>
    </row>
    <row r="480" spans="1:15" x14ac:dyDescent="0.3">
      <c r="A480" t="s">
        <v>1296</v>
      </c>
      <c r="B480" t="s">
        <v>286</v>
      </c>
      <c r="C480" t="s">
        <v>1297</v>
      </c>
      <c r="D480" t="s">
        <v>1298</v>
      </c>
      <c r="E480" t="s">
        <v>78</v>
      </c>
      <c r="F480">
        <v>7894</v>
      </c>
      <c r="G480" t="s">
        <v>68</v>
      </c>
      <c r="H480" t="s">
        <v>36</v>
      </c>
      <c r="I480" t="s">
        <v>19</v>
      </c>
      <c r="J480" t="s">
        <v>95</v>
      </c>
      <c r="K480" t="s">
        <v>29</v>
      </c>
      <c r="L480" t="s">
        <v>38</v>
      </c>
      <c r="M480">
        <f t="shared" si="21"/>
        <v>21</v>
      </c>
      <c r="N480" t="str">
        <f t="shared" si="22"/>
        <v>Low</v>
      </c>
      <c r="O480">
        <f t="shared" si="23"/>
        <v>10</v>
      </c>
    </row>
    <row r="481" spans="1:15" x14ac:dyDescent="0.3">
      <c r="A481" t="s">
        <v>1299</v>
      </c>
      <c r="B481" t="s">
        <v>266</v>
      </c>
      <c r="C481" t="s">
        <v>1300</v>
      </c>
      <c r="D481" t="s">
        <v>1301</v>
      </c>
      <c r="E481" t="s">
        <v>94</v>
      </c>
      <c r="F481">
        <v>2689</v>
      </c>
      <c r="G481" t="s">
        <v>44</v>
      </c>
      <c r="H481" t="s">
        <v>113</v>
      </c>
      <c r="I481" t="s">
        <v>19</v>
      </c>
      <c r="J481" t="s">
        <v>95</v>
      </c>
      <c r="K481" t="s">
        <v>29</v>
      </c>
      <c r="L481" t="s">
        <v>38</v>
      </c>
      <c r="M481">
        <f t="shared" si="21"/>
        <v>10</v>
      </c>
      <c r="N481" t="str">
        <f t="shared" si="22"/>
        <v>Low</v>
      </c>
      <c r="O481">
        <f t="shared" si="23"/>
        <v>10</v>
      </c>
    </row>
    <row r="482" spans="1:15" x14ac:dyDescent="0.3">
      <c r="A482" t="s">
        <v>1302</v>
      </c>
      <c r="B482" t="s">
        <v>580</v>
      </c>
      <c r="C482" t="s">
        <v>1303</v>
      </c>
      <c r="D482" t="s">
        <v>170</v>
      </c>
      <c r="E482" t="s">
        <v>94</v>
      </c>
      <c r="F482">
        <v>6692</v>
      </c>
      <c r="G482" t="s">
        <v>17</v>
      </c>
      <c r="H482" t="s">
        <v>52</v>
      </c>
      <c r="I482" t="s">
        <v>19</v>
      </c>
      <c r="J482" t="s">
        <v>95</v>
      </c>
      <c r="K482" t="s">
        <v>29</v>
      </c>
      <c r="L482" t="s">
        <v>38</v>
      </c>
      <c r="M482">
        <f t="shared" si="21"/>
        <v>6</v>
      </c>
      <c r="N482" t="str">
        <f t="shared" si="22"/>
        <v>Low</v>
      </c>
      <c r="O482">
        <f t="shared" si="23"/>
        <v>10</v>
      </c>
    </row>
    <row r="483" spans="1:15" x14ac:dyDescent="0.3">
      <c r="A483" t="s">
        <v>1304</v>
      </c>
      <c r="B483" t="s">
        <v>380</v>
      </c>
      <c r="C483" t="s">
        <v>919</v>
      </c>
      <c r="D483" t="s">
        <v>50</v>
      </c>
      <c r="E483" t="s">
        <v>78</v>
      </c>
      <c r="F483">
        <v>14259</v>
      </c>
      <c r="G483" t="s">
        <v>79</v>
      </c>
      <c r="H483" t="s">
        <v>36</v>
      </c>
      <c r="I483" t="s">
        <v>19</v>
      </c>
      <c r="J483" t="s">
        <v>20</v>
      </c>
      <c r="K483" t="s">
        <v>69</v>
      </c>
      <c r="L483" t="s">
        <v>38</v>
      </c>
      <c r="M483">
        <f t="shared" si="21"/>
        <v>21</v>
      </c>
      <c r="N483" t="str">
        <f t="shared" si="22"/>
        <v>Low</v>
      </c>
      <c r="O483">
        <f t="shared" si="23"/>
        <v>10</v>
      </c>
    </row>
    <row r="484" spans="1:15" x14ac:dyDescent="0.3">
      <c r="A484" t="s">
        <v>1305</v>
      </c>
      <c r="B484" t="s">
        <v>580</v>
      </c>
      <c r="C484" t="s">
        <v>1306</v>
      </c>
      <c r="D484" t="s">
        <v>524</v>
      </c>
      <c r="E484" t="s">
        <v>78</v>
      </c>
      <c r="F484">
        <v>8419</v>
      </c>
      <c r="G484" t="s">
        <v>79</v>
      </c>
      <c r="H484" t="s">
        <v>45</v>
      </c>
      <c r="I484" t="s">
        <v>28</v>
      </c>
      <c r="J484" t="s">
        <v>95</v>
      </c>
      <c r="K484" t="s">
        <v>21</v>
      </c>
      <c r="L484" t="s">
        <v>38</v>
      </c>
      <c r="M484">
        <f t="shared" si="21"/>
        <v>14</v>
      </c>
      <c r="N484" t="str">
        <f t="shared" si="22"/>
        <v>Low</v>
      </c>
      <c r="O484">
        <f t="shared" si="23"/>
        <v>10</v>
      </c>
    </row>
    <row r="485" spans="1:15" x14ac:dyDescent="0.3">
      <c r="A485" t="s">
        <v>1307</v>
      </c>
      <c r="B485" t="s">
        <v>110</v>
      </c>
      <c r="C485" t="s">
        <v>1308</v>
      </c>
      <c r="D485" t="s">
        <v>1298</v>
      </c>
      <c r="E485" t="s">
        <v>43</v>
      </c>
      <c r="F485">
        <v>6365</v>
      </c>
      <c r="G485" t="s">
        <v>68</v>
      </c>
      <c r="H485" t="s">
        <v>36</v>
      </c>
      <c r="I485" t="s">
        <v>19</v>
      </c>
      <c r="J485" t="s">
        <v>20</v>
      </c>
      <c r="K485" t="s">
        <v>21</v>
      </c>
      <c r="L485" t="s">
        <v>38</v>
      </c>
      <c r="M485">
        <f t="shared" si="21"/>
        <v>10</v>
      </c>
      <c r="N485" t="str">
        <f t="shared" si="22"/>
        <v>Low</v>
      </c>
      <c r="O485">
        <f t="shared" si="23"/>
        <v>10</v>
      </c>
    </row>
    <row r="486" spans="1:15" x14ac:dyDescent="0.3">
      <c r="A486" t="s">
        <v>1309</v>
      </c>
      <c r="B486" t="s">
        <v>325</v>
      </c>
      <c r="C486" t="s">
        <v>624</v>
      </c>
      <c r="D486" t="s">
        <v>824</v>
      </c>
      <c r="E486" t="s">
        <v>34</v>
      </c>
      <c r="F486">
        <v>10122</v>
      </c>
      <c r="G486" t="s">
        <v>63</v>
      </c>
      <c r="H486" t="s">
        <v>18</v>
      </c>
      <c r="I486" t="s">
        <v>19</v>
      </c>
      <c r="J486" t="s">
        <v>95</v>
      </c>
      <c r="K486" t="s">
        <v>57</v>
      </c>
      <c r="L486" t="s">
        <v>38</v>
      </c>
      <c r="M486">
        <f t="shared" si="21"/>
        <v>7</v>
      </c>
      <c r="N486" t="str">
        <f t="shared" si="22"/>
        <v>Low</v>
      </c>
      <c r="O486">
        <f t="shared" si="23"/>
        <v>10</v>
      </c>
    </row>
    <row r="487" spans="1:15" x14ac:dyDescent="0.3">
      <c r="A487" t="s">
        <v>1310</v>
      </c>
      <c r="B487" t="s">
        <v>474</v>
      </c>
      <c r="C487" t="s">
        <v>1134</v>
      </c>
      <c r="D487" t="s">
        <v>1311</v>
      </c>
      <c r="E487" t="s">
        <v>34</v>
      </c>
      <c r="F487">
        <v>8885</v>
      </c>
      <c r="G487" t="s">
        <v>68</v>
      </c>
      <c r="H487" t="s">
        <v>36</v>
      </c>
      <c r="I487" t="s">
        <v>28</v>
      </c>
      <c r="J487" t="s">
        <v>95</v>
      </c>
      <c r="K487" t="s">
        <v>37</v>
      </c>
      <c r="L487" t="s">
        <v>38</v>
      </c>
      <c r="M487">
        <f t="shared" si="21"/>
        <v>6</v>
      </c>
      <c r="N487" t="str">
        <f t="shared" si="22"/>
        <v>Low</v>
      </c>
      <c r="O487">
        <f t="shared" si="23"/>
        <v>10</v>
      </c>
    </row>
    <row r="488" spans="1:15" x14ac:dyDescent="0.3">
      <c r="A488" t="s">
        <v>1312</v>
      </c>
      <c r="B488" t="s">
        <v>397</v>
      </c>
      <c r="C488" t="s">
        <v>1279</v>
      </c>
      <c r="D488" t="s">
        <v>1092</v>
      </c>
      <c r="E488" t="s">
        <v>34</v>
      </c>
      <c r="F488">
        <v>3809</v>
      </c>
      <c r="G488" t="s">
        <v>44</v>
      </c>
      <c r="H488" t="s">
        <v>18</v>
      </c>
      <c r="I488" t="s">
        <v>28</v>
      </c>
      <c r="J488" t="s">
        <v>46</v>
      </c>
      <c r="K488" t="s">
        <v>29</v>
      </c>
      <c r="L488" t="s">
        <v>38</v>
      </c>
      <c r="M488">
        <f t="shared" si="21"/>
        <v>21</v>
      </c>
      <c r="N488" t="str">
        <f t="shared" si="22"/>
        <v>Low</v>
      </c>
      <c r="O488">
        <f t="shared" si="23"/>
        <v>30</v>
      </c>
    </row>
    <row r="489" spans="1:15" x14ac:dyDescent="0.3">
      <c r="A489" t="s">
        <v>1313</v>
      </c>
      <c r="B489" t="s">
        <v>333</v>
      </c>
      <c r="C489" t="s">
        <v>1314</v>
      </c>
      <c r="D489" t="s">
        <v>744</v>
      </c>
      <c r="E489" t="s">
        <v>62</v>
      </c>
      <c r="F489">
        <v>14960</v>
      </c>
      <c r="G489" t="s">
        <v>68</v>
      </c>
      <c r="H489" t="s">
        <v>36</v>
      </c>
      <c r="I489" t="s">
        <v>28</v>
      </c>
      <c r="J489" t="s">
        <v>95</v>
      </c>
      <c r="K489" t="s">
        <v>29</v>
      </c>
      <c r="L489" t="s">
        <v>38</v>
      </c>
      <c r="M489">
        <f t="shared" si="21"/>
        <v>8</v>
      </c>
      <c r="N489" t="str">
        <f t="shared" si="22"/>
        <v>Low</v>
      </c>
      <c r="O489">
        <f t="shared" si="23"/>
        <v>10</v>
      </c>
    </row>
    <row r="490" spans="1:15" x14ac:dyDescent="0.3">
      <c r="A490" t="s">
        <v>1315</v>
      </c>
      <c r="B490" t="s">
        <v>532</v>
      </c>
      <c r="C490" t="s">
        <v>1316</v>
      </c>
      <c r="D490" t="s">
        <v>117</v>
      </c>
      <c r="E490" t="s">
        <v>43</v>
      </c>
      <c r="F490">
        <v>1980</v>
      </c>
      <c r="G490" t="s">
        <v>44</v>
      </c>
      <c r="H490" t="s">
        <v>27</v>
      </c>
      <c r="I490" t="s">
        <v>28</v>
      </c>
      <c r="J490" t="s">
        <v>46</v>
      </c>
      <c r="K490" t="s">
        <v>57</v>
      </c>
      <c r="L490" t="s">
        <v>38</v>
      </c>
      <c r="M490">
        <f t="shared" si="21"/>
        <v>22</v>
      </c>
      <c r="N490" t="str">
        <f t="shared" si="22"/>
        <v>Low</v>
      </c>
      <c r="O490">
        <f t="shared" si="23"/>
        <v>30</v>
      </c>
    </row>
    <row r="491" spans="1:15" x14ac:dyDescent="0.3">
      <c r="A491" t="s">
        <v>1317</v>
      </c>
      <c r="B491" t="s">
        <v>542</v>
      </c>
      <c r="C491" t="s">
        <v>1318</v>
      </c>
      <c r="D491" t="s">
        <v>505</v>
      </c>
      <c r="E491" t="s">
        <v>62</v>
      </c>
      <c r="F491">
        <v>10725</v>
      </c>
      <c r="G491" t="s">
        <v>17</v>
      </c>
      <c r="H491" t="s">
        <v>45</v>
      </c>
      <c r="I491" t="s">
        <v>28</v>
      </c>
      <c r="J491" t="s">
        <v>95</v>
      </c>
      <c r="K491" t="s">
        <v>80</v>
      </c>
      <c r="L491" t="s">
        <v>38</v>
      </c>
      <c r="M491">
        <f t="shared" si="21"/>
        <v>14</v>
      </c>
      <c r="N491" t="str">
        <f t="shared" si="22"/>
        <v>Low</v>
      </c>
      <c r="O491">
        <f t="shared" si="23"/>
        <v>10</v>
      </c>
    </row>
    <row r="492" spans="1:15" x14ac:dyDescent="0.3">
      <c r="A492" t="s">
        <v>1319</v>
      </c>
      <c r="B492" t="s">
        <v>933</v>
      </c>
      <c r="C492" t="s">
        <v>1320</v>
      </c>
      <c r="D492" t="s">
        <v>502</v>
      </c>
      <c r="E492" t="s">
        <v>78</v>
      </c>
      <c r="F492">
        <v>12891</v>
      </c>
      <c r="G492" t="s">
        <v>79</v>
      </c>
      <c r="H492" t="s">
        <v>85</v>
      </c>
      <c r="I492" t="s">
        <v>28</v>
      </c>
      <c r="J492" t="s">
        <v>46</v>
      </c>
      <c r="K492" t="s">
        <v>37</v>
      </c>
      <c r="L492" t="s">
        <v>38</v>
      </c>
      <c r="M492">
        <f t="shared" si="21"/>
        <v>21</v>
      </c>
      <c r="N492" t="str">
        <f t="shared" si="22"/>
        <v>Low</v>
      </c>
      <c r="O492">
        <f t="shared" si="23"/>
        <v>30</v>
      </c>
    </row>
    <row r="493" spans="1:15" x14ac:dyDescent="0.3">
      <c r="A493" t="s">
        <v>1321</v>
      </c>
      <c r="B493" t="s">
        <v>316</v>
      </c>
      <c r="C493" t="s">
        <v>787</v>
      </c>
      <c r="D493" t="s">
        <v>358</v>
      </c>
      <c r="E493" t="s">
        <v>34</v>
      </c>
      <c r="F493">
        <v>6572</v>
      </c>
      <c r="G493" t="s">
        <v>63</v>
      </c>
      <c r="H493" t="s">
        <v>27</v>
      </c>
      <c r="I493" t="s">
        <v>28</v>
      </c>
      <c r="J493" t="s">
        <v>95</v>
      </c>
      <c r="K493" t="s">
        <v>69</v>
      </c>
      <c r="L493" t="s">
        <v>38</v>
      </c>
      <c r="M493">
        <f t="shared" si="21"/>
        <v>10</v>
      </c>
      <c r="N493" t="str">
        <f t="shared" si="22"/>
        <v>Low</v>
      </c>
      <c r="O493">
        <f t="shared" si="23"/>
        <v>10</v>
      </c>
    </row>
    <row r="494" spans="1:15" x14ac:dyDescent="0.3">
      <c r="A494" t="s">
        <v>1322</v>
      </c>
      <c r="B494" t="s">
        <v>845</v>
      </c>
      <c r="C494" t="s">
        <v>1323</v>
      </c>
      <c r="D494" t="s">
        <v>725</v>
      </c>
      <c r="E494" t="s">
        <v>16</v>
      </c>
      <c r="F494">
        <v>86629</v>
      </c>
      <c r="G494" t="s">
        <v>63</v>
      </c>
      <c r="H494" t="s">
        <v>105</v>
      </c>
      <c r="I494" t="s">
        <v>19</v>
      </c>
      <c r="J494" t="s">
        <v>46</v>
      </c>
      <c r="K494" t="s">
        <v>57</v>
      </c>
      <c r="L494" t="s">
        <v>22</v>
      </c>
      <c r="M494">
        <f t="shared" si="21"/>
        <v>3</v>
      </c>
      <c r="N494" t="str">
        <f t="shared" si="22"/>
        <v>High</v>
      </c>
      <c r="O494">
        <f t="shared" si="23"/>
        <v>115</v>
      </c>
    </row>
    <row r="495" spans="1:15" x14ac:dyDescent="0.3">
      <c r="A495" t="s">
        <v>1324</v>
      </c>
      <c r="B495" t="s">
        <v>532</v>
      </c>
      <c r="C495" t="s">
        <v>1325</v>
      </c>
      <c r="D495" t="s">
        <v>33</v>
      </c>
      <c r="E495" t="s">
        <v>51</v>
      </c>
      <c r="F495">
        <v>13538</v>
      </c>
      <c r="G495" t="s">
        <v>35</v>
      </c>
      <c r="H495" t="s">
        <v>18</v>
      </c>
      <c r="I495" t="s">
        <v>19</v>
      </c>
      <c r="J495" t="s">
        <v>95</v>
      </c>
      <c r="K495" t="s">
        <v>37</v>
      </c>
      <c r="L495" t="s">
        <v>38</v>
      </c>
      <c r="M495">
        <f t="shared" si="21"/>
        <v>10</v>
      </c>
      <c r="N495" t="str">
        <f t="shared" si="22"/>
        <v>Low</v>
      </c>
      <c r="O495">
        <f t="shared" si="23"/>
        <v>10</v>
      </c>
    </row>
    <row r="496" spans="1:15" x14ac:dyDescent="0.3">
      <c r="A496" t="s">
        <v>1326</v>
      </c>
      <c r="B496" t="s">
        <v>714</v>
      </c>
      <c r="C496" t="s">
        <v>1327</v>
      </c>
      <c r="D496" t="s">
        <v>693</v>
      </c>
      <c r="E496" t="s">
        <v>16</v>
      </c>
      <c r="F496">
        <v>24948</v>
      </c>
      <c r="G496" t="s">
        <v>35</v>
      </c>
      <c r="H496" t="s">
        <v>52</v>
      </c>
      <c r="I496" t="s">
        <v>19</v>
      </c>
      <c r="J496" t="s">
        <v>46</v>
      </c>
      <c r="K496" t="s">
        <v>69</v>
      </c>
      <c r="L496" t="s">
        <v>22</v>
      </c>
      <c r="M496">
        <f t="shared" si="21"/>
        <v>3</v>
      </c>
      <c r="N496" t="str">
        <f t="shared" si="22"/>
        <v>High</v>
      </c>
      <c r="O496">
        <f t="shared" si="23"/>
        <v>115</v>
      </c>
    </row>
    <row r="497" spans="1:15" x14ac:dyDescent="0.3">
      <c r="A497" t="s">
        <v>1328</v>
      </c>
      <c r="B497" t="s">
        <v>13</v>
      </c>
      <c r="C497" t="s">
        <v>1329</v>
      </c>
      <c r="D497" t="s">
        <v>584</v>
      </c>
      <c r="E497" t="s">
        <v>34</v>
      </c>
      <c r="F497">
        <v>225</v>
      </c>
      <c r="G497" t="s">
        <v>79</v>
      </c>
      <c r="H497" t="s">
        <v>52</v>
      </c>
      <c r="I497" t="s">
        <v>19</v>
      </c>
      <c r="J497" t="s">
        <v>95</v>
      </c>
      <c r="K497" t="s">
        <v>96</v>
      </c>
      <c r="L497" t="s">
        <v>38</v>
      </c>
      <c r="M497">
        <f t="shared" si="21"/>
        <v>12</v>
      </c>
      <c r="N497" t="str">
        <f t="shared" si="22"/>
        <v>Low</v>
      </c>
      <c r="O497">
        <f t="shared" si="23"/>
        <v>10</v>
      </c>
    </row>
    <row r="498" spans="1:15" x14ac:dyDescent="0.3">
      <c r="A498" t="s">
        <v>1330</v>
      </c>
      <c r="B498" t="s">
        <v>209</v>
      </c>
      <c r="C498" t="s">
        <v>1331</v>
      </c>
      <c r="D498" t="s">
        <v>56</v>
      </c>
      <c r="E498" t="s">
        <v>94</v>
      </c>
      <c r="F498">
        <v>3845</v>
      </c>
      <c r="G498" t="s">
        <v>68</v>
      </c>
      <c r="H498" t="s">
        <v>27</v>
      </c>
      <c r="I498" t="s">
        <v>19</v>
      </c>
      <c r="J498" t="s">
        <v>20</v>
      </c>
      <c r="K498" t="s">
        <v>29</v>
      </c>
      <c r="L498" t="s">
        <v>38</v>
      </c>
      <c r="M498">
        <f t="shared" si="21"/>
        <v>11</v>
      </c>
      <c r="N498" t="str">
        <f t="shared" si="22"/>
        <v>Low</v>
      </c>
      <c r="O498">
        <f t="shared" si="23"/>
        <v>10</v>
      </c>
    </row>
    <row r="499" spans="1:15" x14ac:dyDescent="0.3">
      <c r="A499" t="s">
        <v>1332</v>
      </c>
      <c r="B499" t="s">
        <v>1333</v>
      </c>
      <c r="C499" t="s">
        <v>1334</v>
      </c>
      <c r="D499" t="s">
        <v>141</v>
      </c>
      <c r="E499" t="s">
        <v>51</v>
      </c>
      <c r="F499">
        <v>5835</v>
      </c>
      <c r="G499" t="s">
        <v>79</v>
      </c>
      <c r="H499" t="s">
        <v>105</v>
      </c>
      <c r="I499" t="s">
        <v>19</v>
      </c>
      <c r="J499" t="s">
        <v>95</v>
      </c>
      <c r="K499" t="s">
        <v>96</v>
      </c>
      <c r="L499" t="s">
        <v>38</v>
      </c>
      <c r="M499">
        <f t="shared" si="21"/>
        <v>18</v>
      </c>
      <c r="N499" t="str">
        <f t="shared" si="22"/>
        <v>Low</v>
      </c>
      <c r="O499">
        <f t="shared" si="23"/>
        <v>10</v>
      </c>
    </row>
    <row r="500" spans="1:15" x14ac:dyDescent="0.3">
      <c r="A500" t="s">
        <v>1335</v>
      </c>
      <c r="B500" t="s">
        <v>526</v>
      </c>
      <c r="C500" t="s">
        <v>449</v>
      </c>
      <c r="D500" t="s">
        <v>1263</v>
      </c>
      <c r="E500" t="s">
        <v>62</v>
      </c>
      <c r="F500">
        <v>9210</v>
      </c>
      <c r="G500" t="s">
        <v>79</v>
      </c>
      <c r="H500" t="s">
        <v>27</v>
      </c>
      <c r="I500" t="s">
        <v>28</v>
      </c>
      <c r="J500" t="s">
        <v>46</v>
      </c>
      <c r="K500" t="s">
        <v>57</v>
      </c>
      <c r="L500" t="s">
        <v>38</v>
      </c>
      <c r="M500">
        <f t="shared" si="21"/>
        <v>17</v>
      </c>
      <c r="N500" t="str">
        <f t="shared" si="22"/>
        <v>Low</v>
      </c>
      <c r="O500">
        <f t="shared" si="23"/>
        <v>30</v>
      </c>
    </row>
    <row r="501" spans="1:15" x14ac:dyDescent="0.3">
      <c r="A501" t="s">
        <v>1336</v>
      </c>
      <c r="B501" t="s">
        <v>532</v>
      </c>
      <c r="C501" t="s">
        <v>1001</v>
      </c>
      <c r="D501" t="s">
        <v>1337</v>
      </c>
      <c r="E501" t="s">
        <v>43</v>
      </c>
      <c r="F501">
        <v>6720</v>
      </c>
      <c r="G501" t="s">
        <v>79</v>
      </c>
      <c r="H501" t="s">
        <v>52</v>
      </c>
      <c r="I501" t="s">
        <v>28</v>
      </c>
      <c r="J501" t="s">
        <v>95</v>
      </c>
      <c r="K501" t="s">
        <v>96</v>
      </c>
      <c r="L501" t="s">
        <v>38</v>
      </c>
      <c r="M501">
        <f t="shared" si="21"/>
        <v>22</v>
      </c>
      <c r="N501" t="str">
        <f t="shared" si="22"/>
        <v>Low</v>
      </c>
      <c r="O501">
        <f t="shared" si="23"/>
        <v>10</v>
      </c>
    </row>
  </sheetData>
  <conditionalFormatting sqref="O1">
    <cfRule type="colorScale" priority="2">
      <colorScale>
        <cfvo type="min"/>
        <cfvo type="percentile" val="50"/>
        <cfvo type="max"/>
        <color rgb="FF63BE7B"/>
        <color rgb="FFFFEB84"/>
        <color rgb="FFF8696B"/>
      </colorScale>
    </cfRule>
  </conditionalFormatting>
  <conditionalFormatting sqref="O1:O104857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election activeCell="Q65" sqref="Q65"/>
    </sheetView>
  </sheetViews>
  <sheetFormatPr defaultRowHeight="14.4" x14ac:dyDescent="0.3"/>
  <cols>
    <col min="1" max="1" width="12.33203125" bestFit="1" customWidth="1"/>
    <col min="2" max="2" width="18.109375" bestFit="1" customWidth="1"/>
    <col min="4" max="4" width="20.109375" bestFit="1" customWidth="1"/>
    <col min="5" max="5" width="22.44140625" bestFit="1" customWidth="1"/>
    <col min="7" max="7" width="14.6640625" bestFit="1" customWidth="1"/>
    <col min="8" max="8" width="22.44140625" bestFit="1" customWidth="1"/>
    <col min="10" max="10" width="11.33203125" customWidth="1"/>
    <col min="11" max="11" width="22.44140625" bestFit="1" customWidth="1"/>
  </cols>
  <sheetData>
    <row r="1" spans="1:11" x14ac:dyDescent="0.3">
      <c r="A1" s="1" t="s">
        <v>11</v>
      </c>
      <c r="B1" t="s">
        <v>1342</v>
      </c>
      <c r="D1" s="1" t="s">
        <v>11</v>
      </c>
      <c r="E1" t="s">
        <v>22</v>
      </c>
      <c r="G1" s="1" t="s">
        <v>11</v>
      </c>
      <c r="H1" t="s">
        <v>22</v>
      </c>
      <c r="J1" s="1" t="s">
        <v>11</v>
      </c>
      <c r="K1" t="s">
        <v>22</v>
      </c>
    </row>
    <row r="2" spans="1:11" x14ac:dyDescent="0.3">
      <c r="A2" t="s">
        <v>38</v>
      </c>
      <c r="B2">
        <v>444</v>
      </c>
    </row>
    <row r="3" spans="1:11" x14ac:dyDescent="0.3">
      <c r="A3" t="s">
        <v>22</v>
      </c>
      <c r="B3">
        <v>56</v>
      </c>
      <c r="D3" s="1" t="s">
        <v>10</v>
      </c>
      <c r="E3" t="s">
        <v>1343</v>
      </c>
      <c r="G3" s="1" t="s">
        <v>7</v>
      </c>
      <c r="H3" t="s">
        <v>1343</v>
      </c>
      <c r="J3" s="1" t="s">
        <v>1338</v>
      </c>
      <c r="K3" t="s">
        <v>1343</v>
      </c>
    </row>
    <row r="4" spans="1:11" x14ac:dyDescent="0.3">
      <c r="A4" t="s">
        <v>1341</v>
      </c>
      <c r="B4">
        <v>500</v>
      </c>
      <c r="D4" t="s">
        <v>57</v>
      </c>
      <c r="E4">
        <v>14</v>
      </c>
      <c r="G4" t="s">
        <v>18</v>
      </c>
      <c r="H4">
        <v>10</v>
      </c>
      <c r="J4">
        <v>0</v>
      </c>
      <c r="K4">
        <v>12</v>
      </c>
    </row>
    <row r="5" spans="1:11" x14ac:dyDescent="0.3">
      <c r="D5" t="s">
        <v>69</v>
      </c>
      <c r="E5">
        <v>4</v>
      </c>
      <c r="G5" t="s">
        <v>113</v>
      </c>
      <c r="H5">
        <v>7</v>
      </c>
      <c r="J5">
        <v>1</v>
      </c>
      <c r="K5">
        <v>16</v>
      </c>
    </row>
    <row r="6" spans="1:11" x14ac:dyDescent="0.3">
      <c r="D6" t="s">
        <v>29</v>
      </c>
      <c r="E6">
        <v>10</v>
      </c>
      <c r="G6" t="s">
        <v>52</v>
      </c>
      <c r="H6">
        <v>6</v>
      </c>
      <c r="J6">
        <v>2</v>
      </c>
      <c r="K6">
        <v>11</v>
      </c>
    </row>
    <row r="7" spans="1:11" x14ac:dyDescent="0.3">
      <c r="D7" t="s">
        <v>37</v>
      </c>
      <c r="E7">
        <v>10</v>
      </c>
      <c r="G7" t="s">
        <v>105</v>
      </c>
      <c r="H7">
        <v>11</v>
      </c>
      <c r="J7">
        <v>3</v>
      </c>
      <c r="K7">
        <v>7</v>
      </c>
    </row>
    <row r="8" spans="1:11" x14ac:dyDescent="0.3">
      <c r="D8" t="s">
        <v>21</v>
      </c>
      <c r="E8">
        <v>8</v>
      </c>
      <c r="G8" t="s">
        <v>36</v>
      </c>
      <c r="H8">
        <v>5</v>
      </c>
      <c r="J8">
        <v>23</v>
      </c>
      <c r="K8">
        <v>10</v>
      </c>
    </row>
    <row r="9" spans="1:11" x14ac:dyDescent="0.3">
      <c r="D9" t="s">
        <v>80</v>
      </c>
      <c r="E9">
        <v>8</v>
      </c>
      <c r="G9" t="s">
        <v>27</v>
      </c>
      <c r="H9">
        <v>6</v>
      </c>
      <c r="J9" t="s">
        <v>1341</v>
      </c>
      <c r="K9">
        <v>56</v>
      </c>
    </row>
    <row r="10" spans="1:11" x14ac:dyDescent="0.3">
      <c r="D10" t="s">
        <v>96</v>
      </c>
      <c r="E10">
        <v>2</v>
      </c>
      <c r="G10" t="s">
        <v>45</v>
      </c>
      <c r="H10">
        <v>7</v>
      </c>
    </row>
    <row r="11" spans="1:11" x14ac:dyDescent="0.3">
      <c r="D11" t="s">
        <v>1341</v>
      </c>
      <c r="E11">
        <v>56</v>
      </c>
      <c r="G11" t="s">
        <v>85</v>
      </c>
      <c r="H11">
        <v>4</v>
      </c>
    </row>
    <row r="12" spans="1:11" x14ac:dyDescent="0.3">
      <c r="G12" t="s">
        <v>1341</v>
      </c>
      <c r="H12">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O60"/>
  <sheetViews>
    <sheetView showGridLines="0" tabSelected="1" zoomScale="50" zoomScaleNormal="50" workbookViewId="0">
      <selection activeCell="AS75" sqref="AS75"/>
    </sheetView>
  </sheetViews>
  <sheetFormatPr defaultRowHeight="18" x14ac:dyDescent="0.35"/>
  <cols>
    <col min="1" max="14" width="14.6640625" customWidth="1"/>
    <col min="15" max="15" width="14.6640625" style="2" customWidth="1"/>
  </cols>
  <sheetData>
    <row r="1" spans="1:15" ht="35.1" customHeight="1" x14ac:dyDescent="0.3">
      <c r="A1" s="3" t="s">
        <v>1344</v>
      </c>
      <c r="B1" s="4"/>
      <c r="C1" s="4"/>
      <c r="D1" s="4"/>
      <c r="E1" s="4"/>
      <c r="F1" s="4"/>
      <c r="G1" s="4"/>
      <c r="H1" s="4"/>
      <c r="I1" s="4"/>
      <c r="J1" s="4"/>
      <c r="K1" s="4"/>
      <c r="L1" s="4"/>
      <c r="M1" s="4"/>
      <c r="N1" s="4"/>
      <c r="O1" s="4"/>
    </row>
    <row r="2" spans="1:15" ht="35.1" customHeight="1" x14ac:dyDescent="0.3">
      <c r="A2" s="4"/>
      <c r="B2" s="4"/>
      <c r="C2" s="4"/>
      <c r="D2" s="4"/>
      <c r="E2" s="4"/>
      <c r="F2" s="4"/>
      <c r="G2" s="4"/>
      <c r="H2" s="4"/>
      <c r="I2" s="4"/>
      <c r="J2" s="4"/>
      <c r="K2" s="4"/>
      <c r="L2" s="4"/>
      <c r="M2" s="4"/>
      <c r="N2" s="4"/>
      <c r="O2" s="4"/>
    </row>
    <row r="4" spans="1:15" ht="18.75" customHeight="1" x14ac:dyDescent="0.3">
      <c r="A4" s="5" t="s">
        <v>1345</v>
      </c>
      <c r="B4" s="6"/>
      <c r="C4" s="6"/>
      <c r="E4" s="7" t="s">
        <v>1346</v>
      </c>
      <c r="F4" s="8"/>
      <c r="G4" s="8"/>
      <c r="I4" s="9" t="s">
        <v>1348</v>
      </c>
      <c r="J4" s="10"/>
      <c r="K4" s="10"/>
      <c r="M4" s="11" t="s">
        <v>1347</v>
      </c>
      <c r="N4" s="12"/>
      <c r="O4" s="12"/>
    </row>
    <row r="5" spans="1:15" ht="14.4" x14ac:dyDescent="0.3">
      <c r="A5" s="6"/>
      <c r="B5" s="6"/>
      <c r="C5" s="6"/>
      <c r="E5" s="8"/>
      <c r="F5" s="8"/>
      <c r="G5" s="8"/>
      <c r="I5" s="10"/>
      <c r="J5" s="10"/>
      <c r="K5" s="10"/>
      <c r="M5" s="12"/>
      <c r="N5" s="12"/>
      <c r="O5" s="12"/>
    </row>
    <row r="6" spans="1:15" ht="14.4" x14ac:dyDescent="0.3">
      <c r="A6" s="6"/>
      <c r="B6" s="6"/>
      <c r="C6" s="6"/>
      <c r="E6" s="8"/>
      <c r="F6" s="8"/>
      <c r="G6" s="8"/>
      <c r="I6" s="10"/>
      <c r="J6" s="10"/>
      <c r="K6" s="10"/>
      <c r="M6" s="12"/>
      <c r="N6" s="12"/>
      <c r="O6" s="12"/>
    </row>
    <row r="7" spans="1:15" ht="14.4" x14ac:dyDescent="0.3">
      <c r="A7" s="6"/>
      <c r="B7" s="6"/>
      <c r="C7" s="6"/>
      <c r="E7" s="8"/>
      <c r="F7" s="8"/>
      <c r="G7" s="8"/>
      <c r="I7" s="10"/>
      <c r="J7" s="10"/>
      <c r="K7" s="10"/>
      <c r="M7" s="12"/>
      <c r="N7" s="12"/>
      <c r="O7" s="12"/>
    </row>
    <row r="36" spans="15:15" ht="14.4" x14ac:dyDescent="0.3">
      <c r="O36"/>
    </row>
    <row r="37" spans="15:15" ht="14.4" x14ac:dyDescent="0.3">
      <c r="O37"/>
    </row>
    <row r="38" spans="15:15" ht="14.4" customHeight="1" x14ac:dyDescent="0.3">
      <c r="O38"/>
    </row>
    <row r="39" spans="15:15" ht="14.4" customHeight="1" x14ac:dyDescent="0.3">
      <c r="O39"/>
    </row>
    <row r="40" spans="15:15" ht="14.4" x14ac:dyDescent="0.3">
      <c r="O40"/>
    </row>
    <row r="41" spans="15:15" ht="14.4" customHeight="1" x14ac:dyDescent="0.3">
      <c r="O41"/>
    </row>
    <row r="42" spans="15:15" ht="14.4" customHeight="1" x14ac:dyDescent="0.3">
      <c r="O42"/>
    </row>
    <row r="43" spans="15:15" ht="14.4" customHeight="1" x14ac:dyDescent="0.3">
      <c r="O43"/>
    </row>
    <row r="44" spans="15:15" ht="14.4" customHeight="1" x14ac:dyDescent="0.3">
      <c r="O44"/>
    </row>
    <row r="45" spans="15:15" ht="14.4" x14ac:dyDescent="0.3">
      <c r="O45"/>
    </row>
    <row r="46" spans="15:15" ht="14.4" x14ac:dyDescent="0.3">
      <c r="O46"/>
    </row>
    <row r="47" spans="15:15" ht="14.4" x14ac:dyDescent="0.3">
      <c r="O47"/>
    </row>
    <row r="48" spans="15:15" ht="14.4" x14ac:dyDescent="0.3">
      <c r="O48"/>
    </row>
    <row r="49" spans="15:15" ht="14.4" x14ac:dyDescent="0.3">
      <c r="O49"/>
    </row>
    <row r="50" spans="15:15" ht="14.4" x14ac:dyDescent="0.3">
      <c r="O50"/>
    </row>
    <row r="51" spans="15:15" ht="14.4" x14ac:dyDescent="0.3">
      <c r="O51"/>
    </row>
    <row r="52" spans="15:15" ht="14.4" x14ac:dyDescent="0.3">
      <c r="O52"/>
    </row>
    <row r="53" spans="15:15" ht="14.4" x14ac:dyDescent="0.3">
      <c r="O53"/>
    </row>
    <row r="54" spans="15:15" ht="14.4" x14ac:dyDescent="0.3">
      <c r="O54"/>
    </row>
    <row r="55" spans="15:15" ht="14.4" x14ac:dyDescent="0.3">
      <c r="O55"/>
    </row>
    <row r="56" spans="15:15" ht="14.4" x14ac:dyDescent="0.3">
      <c r="O56"/>
    </row>
    <row r="57" spans="15:15" ht="14.4" x14ac:dyDescent="0.3">
      <c r="O57"/>
    </row>
    <row r="58" spans="15:15" ht="14.4" x14ac:dyDescent="0.3">
      <c r="O58"/>
    </row>
    <row r="59" spans="15:15" ht="14.4" x14ac:dyDescent="0.3">
      <c r="O59"/>
    </row>
    <row r="60" spans="15:15" ht="14.4" x14ac:dyDescent="0.3">
      <c r="O60"/>
    </row>
  </sheetData>
  <mergeCells count="5">
    <mergeCell ref="A1:O2"/>
    <mergeCell ref="A4:C7"/>
    <mergeCell ref="E4:G7"/>
    <mergeCell ref="I4:K7"/>
    <mergeCell ref="M4:O7"/>
  </mergeCells>
  <phoneticPr fontId="6"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Manudeep Reddy</cp:lastModifiedBy>
  <dcterms:created xsi:type="dcterms:W3CDTF">2026-05-24T15:21:37Z</dcterms:created>
  <dcterms:modified xsi:type="dcterms:W3CDTF">2026-05-26T09:52:34Z</dcterms:modified>
</cp:coreProperties>
</file>